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auto="1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auto="1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auto="1"/>
      </left>
      <right style="medium">
        <color rgb="FFFF0000"/>
      </right>
      <top/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5" borderId="1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6" applyAlignment="1">
      <alignment vertical="center"/>
    </xf>
    <xf numFmtId="0" fontId="8" fillId="0" borderId="16" applyAlignment="1">
      <alignment vertical="center"/>
    </xf>
    <xf numFmtId="0" fontId="9" fillId="0" borderId="17" applyAlignment="1">
      <alignment vertical="center"/>
    </xf>
    <xf numFmtId="0" fontId="9" fillId="0" borderId="0" applyAlignment="1">
      <alignment vertical="center"/>
    </xf>
    <xf numFmtId="0" fontId="10" fillId="6" borderId="18" applyAlignment="1">
      <alignment vertical="center"/>
    </xf>
    <xf numFmtId="0" fontId="11" fillId="7" borderId="19" applyAlignment="1">
      <alignment vertical="center"/>
    </xf>
    <xf numFmtId="0" fontId="12" fillId="7" borderId="18" applyAlignment="1">
      <alignment vertical="center"/>
    </xf>
    <xf numFmtId="0" fontId="13" fillId="8" borderId="20" applyAlignment="1">
      <alignment vertical="center"/>
    </xf>
    <xf numFmtId="0" fontId="14" fillId="0" borderId="21" applyAlignment="1">
      <alignment vertical="center"/>
    </xf>
    <xf numFmtId="0" fontId="15" fillId="0" borderId="22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4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9">
    <xf numFmtId="0" fontId="0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9" fontId="0" fillId="0" borderId="12" pivotButton="0" quotePrefix="0" xfId="0"/>
    <xf numFmtId="0" fontId="0" fillId="0" borderId="13" pivotButton="0" quotePrefix="0" xfId="0"/>
    <xf numFmtId="9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4:R11"/>
  <sheetViews>
    <sheetView tabSelected="1" topLeftCell="B3" workbookViewId="0">
      <selection activeCell="N18" sqref="N18"/>
    </sheetView>
  </sheetViews>
  <sheetFormatPr baseColWidth="8" defaultColWidth="9" defaultRowHeight="12.5"/>
  <cols>
    <col width="9.63636363636364" customWidth="1" min="8" max="8"/>
    <col width="18.4545454545455" customWidth="1" min="17" max="17"/>
  </cols>
  <sheetData>
    <row r="4">
      <c r="G4" t="inlineStr">
        <is>
          <t>Data</t>
        </is>
      </c>
      <c r="J4" t="inlineStr">
        <is>
          <t>Output Report</t>
        </is>
      </c>
    </row>
    <row r="5">
      <c r="J5" s="2" t="inlineStr">
        <is>
          <t>week</t>
        </is>
      </c>
      <c r="N5" s="3" t="n"/>
    </row>
    <row r="6" ht="13.25" customHeight="1">
      <c r="G6" s="1" t="inlineStr">
        <is>
          <t>Week</t>
        </is>
      </c>
      <c r="H6" s="1" t="inlineStr">
        <is>
          <t>Criteria1</t>
        </is>
      </c>
      <c r="I6" t="inlineStr">
        <is>
          <t>Criteria2</t>
        </is>
      </c>
      <c r="J6" s="2" t="n">
        <v>1</v>
      </c>
      <c r="K6" s="2" t="n">
        <v>2</v>
      </c>
      <c r="L6" s="2" t="n">
        <v>3</v>
      </c>
      <c r="M6" s="2" t="n">
        <v>4</v>
      </c>
      <c r="N6" s="2" t="n">
        <v>5</v>
      </c>
    </row>
    <row r="7">
      <c r="G7" t="n">
        <v>1</v>
      </c>
      <c r="H7" t="inlineStr">
        <is>
          <t>A</t>
        </is>
      </c>
      <c r="I7" t="inlineStr">
        <is>
          <t>Criteria A %</t>
        </is>
      </c>
      <c r="J7" s="4">
        <f>SUMIFS($I$7:$I$11,$G$7:$G$11,"&gt;="&amp;K$4-2,$G$7:$G$11,"&lt;="&amp;K$4,$H$7:$H$11,"A")/SUMIFS($I$7:$I$11,$G$7:$G$11,"&gt;="&amp;K$4-2,$G$7:$G$11,"&lt;="&amp;K$4)*100</f>
        <v/>
      </c>
      <c r="K7" s="5">
        <f>SUMIFS($I$7:$I$11,$G$7:$G$11,"&gt;="&amp;L$4-2,$G$7:$G$11,"&lt;="&amp;L$4,$H$7:$H$11,"A")/SUMIFS($I$7:$I$11,$G$7:$G$11,"&gt;="&amp;L$4-2,$G$7:$G$11,"&lt;="&amp;L$4)*100</f>
        <v/>
      </c>
      <c r="L7" s="5">
        <f>SUMIFS($I$7:$I$11,$G$7:$G$11,"&gt;="&amp;M$4-2,$G$7:$G$11,"&lt;="&amp;M$4,$H$7:$H$11,"A")/SUMIFS($I$7:$I$11,$G$7:$G$11,"&gt;="&amp;M$4-2,$G$7:$G$11,"&lt;="&amp;M$4)*100</f>
        <v/>
      </c>
      <c r="M7" s="5">
        <f>SUMIFS($I$7:$I$11,$G$7:$G$11,"&gt;="&amp;N$4-2,$G$7:$G$11,"&lt;="&amp;N$4,$H$7:$H$11,"A")/SUMIFS($I$7:$I$11,$G$7:$G$11,"&gt;="&amp;N$4-2,$G$7:$G$11,"&lt;="&amp;N$4)*100</f>
        <v/>
      </c>
      <c r="N7" s="6">
        <f>SUMIFS($I$7:$I$11,$G$7:$G$11,"&gt;="&amp;O$4-2,$G$7:$G$11,"&lt;="&amp;O$4,$H$7:$H$11,"A")/SUMIFS($I$7:$I$11,$G$7:$G$11,"&gt;="&amp;O$4-2,$G$7:$G$11,"&lt;="&amp;O$4)*100</f>
        <v/>
      </c>
      <c r="Q7" s="13" t="inlineStr">
        <is>
          <t>percentage output 1st</t>
        </is>
      </c>
      <c r="R7" s="14" t="n">
        <v>0.1</v>
      </c>
    </row>
    <row r="8">
      <c r="G8" t="n">
        <v>2</v>
      </c>
      <c r="H8" t="inlineStr">
        <is>
          <t>B</t>
        </is>
      </c>
      <c r="I8" t="inlineStr">
        <is>
          <t>Criteria B %</t>
        </is>
      </c>
      <c r="J8" s="7">
        <f>SUMIFS($I$7:$I$11,$G$7:$G$11,"&gt;="&amp;K$4-2,$G$7:$G$11,"&lt;="&amp;K$4,$H$7:$H$11,"B")/SUMIFS($I$7:$I$11,$G$7:$G$11,"&gt;="&amp;K$4-2,$G$7:$G$11,"&lt;="&amp;K$4)*100</f>
        <v/>
      </c>
      <c r="K8" s="8">
        <f>SUMIFS($I$7:$I$11,$G$7:$G$11,"&gt;="&amp;L$4-2,$G$7:$G$11,"&lt;="&amp;L$4,$H$7:$H$11,"B")/SUMIFS($I$7:$I$11,$G$7:$G$11,"&gt;="&amp;L$4-2,$G$7:$G$11,"&lt;="&amp;L$4)*100</f>
        <v/>
      </c>
      <c r="L8" s="8">
        <f>SUMIFS($I$7:$I$11,$G$7:$G$11,"&gt;="&amp;M$4-2,$G$7:$G$11,"&lt;="&amp;M$4,$H$7:$H$11,"B")/SUMIFS($I$7:$I$11,$G$7:$G$11,"&gt;="&amp;M$4-2,$G$7:$G$11,"&lt;="&amp;M$4)*100</f>
        <v/>
      </c>
      <c r="M8" s="8">
        <f>SUMIFS($I$7:$I$11,$G$7:$G$11,"&gt;="&amp;N$4-2,$G$7:$G$11,"&lt;="&amp;N$4,$H$7:$H$11,"B")/SUMIFS($I$7:$I$11,$G$7:$G$11,"&gt;="&amp;N$4-2,$G$7:$G$11,"&lt;="&amp;N$4)*100</f>
        <v/>
      </c>
      <c r="N8" s="9">
        <f>SUMIFS($I$7:$I$11,$G$7:$G$11,"&gt;="&amp;O$4-2,$G$7:$G$11,"&lt;="&amp;O$4,$H$7:$H$11,"B")/SUMIFS($I$7:$I$11,$G$7:$G$11,"&gt;="&amp;O$4-2,$G$7:$G$11,"&lt;="&amp;O$4)*100</f>
        <v/>
      </c>
      <c r="Q8" s="15" t="inlineStr">
        <is>
          <t>percentage output 2nd</t>
        </is>
      </c>
      <c r="R8" s="16" t="n">
        <v>0.4</v>
      </c>
    </row>
    <row r="9" ht="13.25" customHeight="1">
      <c r="G9" t="n">
        <v>3</v>
      </c>
      <c r="H9" t="inlineStr">
        <is>
          <t>A</t>
        </is>
      </c>
      <c r="I9" t="inlineStr">
        <is>
          <t>3-Week Total</t>
        </is>
      </c>
      <c r="J9" s="10">
        <f>SUMIFS($I$7:$I$11,$G$7:$G$11,"&gt;="&amp;MAX(1,K$4-2),$G$7:$G$11,"&lt;="&amp;K$4)</f>
        <v/>
      </c>
      <c r="K9" s="11">
        <f>SUMIFS($I$7:$I$11,$G$7:$G$11,"&gt;="&amp;MAX(1,L$4-2),$G$7:$G$11,"&lt;="&amp;L$4)</f>
        <v/>
      </c>
      <c r="L9" s="11">
        <f>SUMIFS($I$7:$I$11,$G$7:$G$11,"&gt;="&amp;MAX(1,M$4-2),$G$7:$G$11,"&lt;="&amp;M$4)</f>
        <v/>
      </c>
      <c r="M9" s="11">
        <f>SUMIFS($I$7:$I$11,$G$7:$G$11,"&gt;="&amp;MAX(1,N$4-2),$G$7:$G$11,"&lt;="&amp;N$4)</f>
        <v/>
      </c>
      <c r="N9" s="12">
        <f>SUMIFS($I$7:$I$11,$G$7:$G$11,"&gt;="&amp;MAX(1,O$4-2),$G$7:$G$11,"&lt;="&amp;O$4)</f>
        <v/>
      </c>
      <c r="Q9" s="17" t="inlineStr">
        <is>
          <t>percentage output 3rd</t>
        </is>
      </c>
      <c r="R9" s="18" t="n">
        <v>0.5</v>
      </c>
    </row>
    <row r="10">
      <c r="G10" t="n">
        <v>4</v>
      </c>
      <c r="H10" t="inlineStr">
        <is>
          <t>A</t>
        </is>
      </c>
      <c r="I10" t="n">
        <v>180</v>
      </c>
    </row>
    <row r="11">
      <c r="G11" t="n">
        <v>5</v>
      </c>
      <c r="H11" t="inlineStr">
        <is>
          <t>B</t>
        </is>
      </c>
      <c r="I11" t="n">
        <v>200</v>
      </c>
    </row>
  </sheetData>
  <mergeCells count="1">
    <mergeCell ref="J5:M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Novi Hermawan W</dc:creator>
  <dcterms:created xsi:type="dcterms:W3CDTF">2022-06-09T04:20:00Z</dcterms:created>
  <dcterms:modified xsi:type="dcterms:W3CDTF">2026-03-23T10:23:25Z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DF7AF9A0FDC648BD8C1882BF2059EA07_12</vt:lpwstr>
  </property>
  <property name="KSOProductBuildVer" fmtid="{D5CDD505-2E9C-101B-9397-08002B2CF9AE}" pid="3">
    <vt:lpwstr>2052-12.1.0.16729</vt:lpwstr>
  </property>
</Properties>
</file>