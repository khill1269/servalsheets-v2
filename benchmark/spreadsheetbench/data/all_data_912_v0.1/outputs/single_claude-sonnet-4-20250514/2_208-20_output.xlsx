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Q" sheetId="1" state="visible" r:id="rId1"/>
  </sheets>
  <externalReferences>
    <externalReference r:id="rId2"/>
    <externalReference r:id="rId3"/>
  </externalReferences>
  <definedNames>
    <definedName name="_Table1_Out" hidden="1">[1]mape!#REF!</definedName>
    <definedName name="ActiveRow">1</definedName>
    <definedName name="anscount" hidden="1">1</definedName>
    <definedName name="n">[2]Download!$AW$9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;@"/>
    <numFmt numFmtId="165" formatCode="0.0%"/>
    <numFmt numFmtId="166" formatCode="[$-409]d\-mmm;@"/>
  </numFmts>
  <fonts count="29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sz val="8"/>
    </font>
    <font>
      <name val="Arial"/>
      <charset val="134"/>
      <b val="1"/>
      <sz val="12"/>
    </font>
    <font>
      <name val="等线 Light"/>
      <charset val="134"/>
      <b val="1"/>
      <color rgb="FF7030A0"/>
      <sz val="8"/>
      <scheme val="major"/>
    </font>
    <font>
      <name val="等线 Light"/>
      <charset val="134"/>
      <color rgb="FF7030A0"/>
      <sz val="8"/>
      <scheme val="major"/>
    </font>
    <font>
      <name val="等线 Light"/>
      <charset val="134"/>
      <b val="1"/>
      <color rgb="FF7030A0"/>
      <sz val="9"/>
      <scheme val="major"/>
    </font>
    <font>
      <name val="等线 Light"/>
      <charset val="134"/>
      <sz val="8"/>
      <scheme val="major"/>
    </font>
    <font>
      <name val="等线"/>
      <charset val="134"/>
      <b val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51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5" borderId="1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6" applyAlignment="1">
      <alignment vertical="center"/>
    </xf>
    <xf numFmtId="0" fontId="16" fillId="0" borderId="16" applyAlignment="1">
      <alignment vertical="center"/>
    </xf>
    <xf numFmtId="0" fontId="17" fillId="0" borderId="17" applyAlignment="1">
      <alignment vertical="center"/>
    </xf>
    <xf numFmtId="0" fontId="17" fillId="0" borderId="0" applyAlignment="1">
      <alignment vertical="center"/>
    </xf>
    <xf numFmtId="0" fontId="18" fillId="6" borderId="18" applyAlignment="1">
      <alignment vertical="center"/>
    </xf>
    <xf numFmtId="0" fontId="19" fillId="7" borderId="19" applyAlignment="1">
      <alignment vertical="center"/>
    </xf>
    <xf numFmtId="0" fontId="20" fillId="7" borderId="18" applyAlignment="1">
      <alignment vertical="center"/>
    </xf>
    <xf numFmtId="0" fontId="21" fillId="8" borderId="20" applyAlignment="1">
      <alignment vertical="center"/>
    </xf>
    <xf numFmtId="0" fontId="22" fillId="0" borderId="21" applyAlignment="1">
      <alignment vertical="center"/>
    </xf>
    <xf numFmtId="0" fontId="23" fillId="0" borderId="2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  <xf numFmtId="0" fontId="1" fillId="0" borderId="0"/>
    <xf numFmtId="166" fontId="1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49">
      <alignment horizontal="center" vertical="center"/>
    </xf>
    <xf numFmtId="164" fontId="1" fillId="0" borderId="0" applyAlignment="1" pivotButton="0" quotePrefix="0" xfId="49">
      <alignment horizontal="center" vertical="center"/>
    </xf>
    <xf numFmtId="4" fontId="1" fillId="0" borderId="0" applyAlignment="1" pivotButton="0" quotePrefix="0" xfId="49">
      <alignment horizontal="center" vertical="center"/>
    </xf>
    <xf numFmtId="165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center" vertical="center"/>
    </xf>
    <xf numFmtId="165" fontId="2" fillId="0" borderId="0" applyAlignment="1" pivotButton="0" quotePrefix="0" xfId="49">
      <alignment horizontal="center" vertical="center"/>
    </xf>
    <xf numFmtId="164" fontId="3" fillId="2" borderId="1" applyAlignment="1" pivotButton="0" quotePrefix="0" xfId="49">
      <alignment horizontal="center" vertical="center"/>
    </xf>
    <xf numFmtId="164" fontId="3" fillId="2" borderId="2" applyAlignment="1" pivotButton="0" quotePrefix="0" xfId="49">
      <alignment horizontal="center" vertical="center"/>
    </xf>
    <xf numFmtId="164" fontId="3" fillId="2" borderId="3" applyAlignment="1" pivotButton="0" quotePrefix="0" xfId="49">
      <alignment horizontal="center" vertical="center"/>
    </xf>
    <xf numFmtId="164" fontId="3" fillId="2" borderId="0" applyAlignment="1" pivotButton="0" quotePrefix="0" xfId="49">
      <alignment horizontal="center" vertical="center"/>
    </xf>
    <xf numFmtId="15" fontId="4" fillId="0" borderId="4" applyAlignment="1" pivotButton="0" quotePrefix="0" xfId="0">
      <alignment horizontal="center" vertical="center"/>
    </xf>
    <xf numFmtId="166" fontId="4" fillId="0" borderId="4" applyAlignment="1" pivotButton="0" quotePrefix="0" xfId="50">
      <alignment horizontal="center" vertical="center"/>
    </xf>
    <xf numFmtId="166" fontId="5" fillId="0" borderId="4" applyAlignment="1" pivotButton="0" quotePrefix="0" xfId="50">
      <alignment horizontal="center" vertical="center"/>
    </xf>
    <xf numFmtId="166" fontId="6" fillId="3" borderId="4" applyAlignment="1" pivotButton="0" quotePrefix="0" xfId="50">
      <alignment horizontal="center" vertical="center"/>
    </xf>
    <xf numFmtId="2" fontId="7" fillId="0" borderId="5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2" fontId="7" fillId="0" borderId="6" applyAlignment="1" pivotButton="0" quotePrefix="0" xfId="0">
      <alignment horizontal="center" vertical="center"/>
    </xf>
    <xf numFmtId="166" fontId="8" fillId="0" borderId="6" applyAlignment="1" pivotButton="0" quotePrefix="0" xfId="50">
      <alignment horizontal="center" vertical="center"/>
    </xf>
    <xf numFmtId="0" fontId="8" fillId="0" borderId="6" applyAlignment="1" pivotButton="0" quotePrefix="0" xfId="50">
      <alignment horizontal="center" vertical="center"/>
    </xf>
    <xf numFmtId="165" fontId="2" fillId="0" borderId="7" applyAlignment="1" pivotButton="0" quotePrefix="0" xfId="49">
      <alignment horizontal="center" vertical="center"/>
    </xf>
    <xf numFmtId="165" fontId="2" fillId="0" borderId="0" applyAlignment="1" pivotButton="0" quotePrefix="0" xfId="49">
      <alignment horizontal="center" vertical="center"/>
    </xf>
    <xf numFmtId="2" fontId="7" fillId="0" borderId="8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2" fontId="7" fillId="0" borderId="9" applyAlignment="1" pivotButton="0" quotePrefix="0" xfId="0">
      <alignment horizontal="center" vertical="center"/>
    </xf>
    <xf numFmtId="166" fontId="8" fillId="0" borderId="9" applyAlignment="1" pivotButton="0" quotePrefix="0" xfId="50">
      <alignment horizontal="center" vertical="center"/>
    </xf>
    <xf numFmtId="0" fontId="8" fillId="0" borderId="9" applyAlignment="1" pivotButton="0" quotePrefix="0" xfId="50">
      <alignment horizontal="center" vertical="center"/>
    </xf>
    <xf numFmtId="165" fontId="2" fillId="0" borderId="10" applyAlignment="1" pivotButton="0" quotePrefix="0" xfId="49">
      <alignment horizontal="center" vertical="center"/>
    </xf>
    <xf numFmtId="2" fontId="7" fillId="0" borderId="11" applyAlignment="1" pivotButton="0" quotePrefix="0" xfId="0">
      <alignment horizontal="center" vertical="center"/>
    </xf>
    <xf numFmtId="164" fontId="7" fillId="0" borderId="12" applyAlignment="1" pivotButton="0" quotePrefix="0" xfId="0">
      <alignment horizontal="center" vertical="center"/>
    </xf>
    <xf numFmtId="2" fontId="7" fillId="0" borderId="12" applyAlignment="1" pivotButton="0" quotePrefix="0" xfId="0">
      <alignment horizontal="center" vertical="center"/>
    </xf>
    <xf numFmtId="166" fontId="8" fillId="0" borderId="12" applyAlignment="1" pivotButton="0" quotePrefix="0" xfId="50">
      <alignment horizontal="center" vertical="center"/>
    </xf>
    <xf numFmtId="0" fontId="8" fillId="0" borderId="12" applyAlignment="1" pivotButton="0" quotePrefix="0" xfId="50">
      <alignment horizontal="center" vertical="center"/>
    </xf>
    <xf numFmtId="165" fontId="2" fillId="0" borderId="13" applyAlignment="1" pivotButton="0" quotePrefix="0" xfId="49">
      <alignment horizontal="center" vertical="center"/>
    </xf>
    <xf numFmtId="165" fontId="2" fillId="0" borderId="14" applyAlignment="1" pivotButton="0" quotePrefix="0" xfId="49">
      <alignment horizontal="center" vertical="center"/>
    </xf>
    <xf numFmtId="164" fontId="3" fillId="4" borderId="1" applyAlignment="1" pivotButton="0" quotePrefix="0" xfId="49">
      <alignment horizontal="center" vertical="center"/>
    </xf>
    <xf numFmtId="164" fontId="3" fillId="4" borderId="2" applyAlignment="1" pivotButton="0" quotePrefix="0" xfId="49">
      <alignment horizontal="center" vertical="center"/>
    </xf>
    <xf numFmtId="164" fontId="3" fillId="4" borderId="3" applyAlignment="1" pivotButton="0" quotePrefix="0" xfId="49">
      <alignment horizontal="center" vertical="center"/>
    </xf>
    <xf numFmtId="164" fontId="1" fillId="0" borderId="0" applyAlignment="1" pivotButton="0" quotePrefix="0" xfId="49">
      <alignment horizontal="center" vertical="center"/>
    </xf>
    <xf numFmtId="165" fontId="1" fillId="0" borderId="0" applyAlignment="1" pivotButton="0" quotePrefix="0" xfId="49">
      <alignment horizontal="center" vertical="center"/>
    </xf>
    <xf numFmtId="165" fontId="2" fillId="0" borderId="0" applyAlignment="1" pivotButton="0" quotePrefix="0" xfId="49">
      <alignment horizontal="center" vertical="center"/>
    </xf>
    <xf numFmtId="164" fontId="3" fillId="2" borderId="23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2" borderId="0" applyAlignment="1" pivotButton="0" quotePrefix="0" xfId="49">
      <alignment horizontal="center" vertical="center"/>
    </xf>
    <xf numFmtId="164" fontId="3" fillId="4" borderId="23" applyAlignment="1" pivotButton="0" quotePrefix="0" xfId="49">
      <alignment horizontal="center" vertical="center"/>
    </xf>
    <xf numFmtId="166" fontId="4" fillId="0" borderId="4" applyAlignment="1" pivotButton="0" quotePrefix="0" xfId="50">
      <alignment horizontal="center" vertical="center"/>
    </xf>
    <xf numFmtId="166" fontId="5" fillId="0" borderId="4" applyAlignment="1" pivotButton="0" quotePrefix="0" xfId="50">
      <alignment horizontal="center" vertical="center"/>
    </xf>
    <xf numFmtId="166" fontId="6" fillId="3" borderId="4" applyAlignment="1" pivotButton="0" quotePrefix="0" xfId="50">
      <alignment horizontal="center" vertical="center"/>
    </xf>
    <xf numFmtId="164" fontId="7" fillId="0" borderId="6" applyAlignment="1" pivotButton="0" quotePrefix="0" xfId="0">
      <alignment horizontal="center" vertical="center"/>
    </xf>
    <xf numFmtId="166" fontId="8" fillId="0" borderId="6" applyAlignment="1" pivotButton="0" quotePrefix="0" xfId="50">
      <alignment horizontal="center" vertical="center"/>
    </xf>
    <xf numFmtId="165" fontId="2" fillId="0" borderId="7" applyAlignment="1" pivotButton="0" quotePrefix="0" xfId="49">
      <alignment horizontal="center" vertical="center"/>
    </xf>
    <xf numFmtId="164" fontId="7" fillId="0" borderId="9" applyAlignment="1" pivotButton="0" quotePrefix="0" xfId="0">
      <alignment horizontal="center" vertical="center"/>
    </xf>
    <xf numFmtId="166" fontId="8" fillId="0" borderId="9" applyAlignment="1" pivotButton="0" quotePrefix="0" xfId="50">
      <alignment horizontal="center" vertical="center"/>
    </xf>
    <xf numFmtId="165" fontId="2" fillId="0" borderId="10" applyAlignment="1" pivotButton="0" quotePrefix="0" xfId="49">
      <alignment horizontal="center" vertical="center"/>
    </xf>
    <xf numFmtId="164" fontId="7" fillId="0" borderId="12" applyAlignment="1" pivotButton="0" quotePrefix="0" xfId="0">
      <alignment horizontal="center" vertical="center"/>
    </xf>
    <xf numFmtId="166" fontId="8" fillId="0" borderId="12" applyAlignment="1" pivotButton="0" quotePrefix="0" xfId="50">
      <alignment horizontal="center" vertical="center"/>
    </xf>
    <xf numFmtId="165" fontId="2" fillId="0" borderId="13" applyAlignment="1" pivotButton="0" quotePrefix="0" xfId="49">
      <alignment horizontal="center" vertical="center"/>
    </xf>
    <xf numFmtId="165" fontId="2" fillId="0" borderId="14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</cellStyles>
  <dxfs count="2">
    <dxf>
      <font>
        <b val="1"/>
        <strike val="0"/>
        <color indexed="17"/>
      </font>
    </dxf>
    <dxf>
      <font>
        <b val="1"/>
        <strike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&#26700;&#38754;\vba_0516_&#24352;&#30410;&#32724;\208-20\Users\arockiaraj_c\AppData\Roaming\Microsoft\Excel\Users\Arockiaraj\AppData\Roaming\Microsoft\Excel\WINDOWS\Desktop\STOCK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6700;&#38754;\vba_0516_&#24352;&#30410;&#32724;\208-20\Learning\All%20Stock_With%20ORB_V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tock"/>
      <sheetName val="mape"/>
      <sheetName val="ad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N37"/>
  <sheetViews>
    <sheetView tabSelected="1" workbookViewId="0">
      <pane ySplit="2" topLeftCell="A23" activePane="bottomLeft" state="frozen"/>
      <selection activeCell="A1" sqref="A1"/>
      <selection pane="bottomLeft" activeCell="E32" sqref="E32"/>
    </sheetView>
  </sheetViews>
  <sheetFormatPr baseColWidth="8" defaultColWidth="11.8833333333333" defaultRowHeight="19.8" customHeight="1"/>
  <cols>
    <col width="12.2166666666667" customWidth="1" style="1" min="1" max="1"/>
    <col width="8.883333333333329" customWidth="1" style="38" min="2" max="2"/>
    <col width="8.883333333333329" customWidth="1" style="3" min="3" max="3"/>
    <col width="8.883333333333329" customWidth="1" style="39" min="4" max="4"/>
    <col width="6.33333333333333" customWidth="1" style="5" min="5" max="5"/>
    <col width="12.4416666666667" customWidth="1" style="40" min="6" max="6"/>
    <col width="9.44166666666667" customWidth="1" style="40" min="7" max="8"/>
    <col width="11.4416666666667" customWidth="1" style="1" min="9" max="9"/>
    <col width="10.4416666666667" customWidth="1" style="38" min="10" max="10"/>
    <col width="10.4416666666667" customWidth="1" style="3" min="11" max="11"/>
    <col width="10.4416666666667" customWidth="1" style="39" min="12" max="12"/>
    <col width="6.33333333333333" customWidth="1" style="5" min="13" max="13"/>
    <col width="12.4416666666667" customWidth="1" style="40" min="14" max="14"/>
    <col width="11.8833333333333" customWidth="1" style="1" min="15" max="16384"/>
  </cols>
  <sheetData>
    <row r="1">
      <c r="A1" s="41" t="inlineStr">
        <is>
          <t>Actual Result</t>
        </is>
      </c>
      <c r="B1" s="42" t="n"/>
      <c r="C1" s="42" t="n"/>
      <c r="D1" s="42" t="n"/>
      <c r="E1" s="42" t="n"/>
      <c r="F1" s="43" t="n"/>
      <c r="G1" s="44" t="n"/>
      <c r="H1" s="44" t="n"/>
      <c r="I1" s="45" t="inlineStr">
        <is>
          <t>Expected Result</t>
        </is>
      </c>
      <c r="J1" s="42" t="n"/>
      <c r="K1" s="42" t="n"/>
      <c r="L1" s="42" t="n"/>
      <c r="M1" s="42" t="n"/>
      <c r="N1" s="43" t="n"/>
    </row>
    <row r="2">
      <c r="A2" s="11" t="inlineStr">
        <is>
          <t>AXISBANK.NS</t>
        </is>
      </c>
      <c r="B2" s="11" t="n">
        <v>44812</v>
      </c>
      <c r="C2" s="46" t="n">
        <v>744.849976</v>
      </c>
      <c r="D2" s="47" t="inlineStr">
        <is>
          <t>SHORT</t>
        </is>
      </c>
      <c r="E2" s="48" t="n">
        <v>40</v>
      </c>
      <c r="F2">
        <f>IF(NOT(ISBLANK(E32)),A32,"")</f>
        <v/>
      </c>
      <c r="I2" s="11" t="n"/>
      <c r="J2" s="11" t="inlineStr">
        <is>
          <t>DATE</t>
        </is>
      </c>
      <c r="K2" s="46" t="inlineStr">
        <is>
          <t>OPEN</t>
        </is>
      </c>
      <c r="L2" s="47" t="inlineStr">
        <is>
          <t>SIGNAL</t>
        </is>
      </c>
      <c r="M2" s="48" t="inlineStr">
        <is>
          <t>R DAYS</t>
        </is>
      </c>
    </row>
    <row r="3">
      <c r="A3" s="15" t="inlineStr">
        <is>
          <t>UPL.NS</t>
        </is>
      </c>
      <c r="B3" s="49" t="n">
        <v>44812</v>
      </c>
      <c r="C3" s="17" t="n">
        <v>744.849976</v>
      </c>
      <c r="D3" s="50" t="inlineStr">
        <is>
          <t>SHORT</t>
        </is>
      </c>
      <c r="E3" s="19" t="n">
        <v>15</v>
      </c>
      <c r="F3" s="51">
        <f>IF(NOT(ISBLANK(E27)),A27,"")</f>
        <v/>
      </c>
      <c r="G3" s="40" t="n"/>
      <c r="H3" s="40" t="n"/>
      <c r="I3" s="15" t="inlineStr">
        <is>
          <t>AXISBANK.NS</t>
        </is>
      </c>
      <c r="J3" s="49" t="n">
        <v>44806</v>
      </c>
      <c r="K3" s="17" t="n">
        <v>760.25</v>
      </c>
      <c r="L3" s="50" t="inlineStr">
        <is>
          <t>SHORT</t>
        </is>
      </c>
      <c r="M3" s="19" t="n"/>
      <c r="N3" s="51">
        <f>IF(NOT(ISBLANK(M3)),I3,"")</f>
        <v/>
      </c>
    </row>
    <row r="4">
      <c r="A4" s="22" t="inlineStr">
        <is>
          <t>^NSEI</t>
        </is>
      </c>
      <c r="B4" s="52" t="n">
        <v>44812</v>
      </c>
      <c r="C4" s="24" t="n">
        <v>17748.150391</v>
      </c>
      <c r="D4" s="53" t="inlineStr">
        <is>
          <t>LONG</t>
        </is>
      </c>
      <c r="E4" s="26" t="n">
        <v>7</v>
      </c>
      <c r="F4" s="54">
        <f>IF(NOT(ISBLANK(E7)),A7,"")</f>
        <v/>
      </c>
      <c r="G4" s="40" t="n"/>
      <c r="H4" s="40" t="n"/>
      <c r="I4" s="22" t="inlineStr">
        <is>
          <t>AXISBANK.NS</t>
        </is>
      </c>
      <c r="J4" s="52" t="n">
        <v>44809</v>
      </c>
      <c r="K4" s="24" t="n">
        <v>741.349976</v>
      </c>
      <c r="L4" s="53" t="inlineStr">
        <is>
          <t>SHORT</t>
        </is>
      </c>
      <c r="M4" s="26" t="n"/>
      <c r="N4" s="54">
        <f>IF(NOT(ISBLANK(M4)),I4,"")</f>
        <v/>
      </c>
    </row>
    <row r="5">
      <c r="A5" s="22" t="inlineStr">
        <is>
          <t>JUBLFOOD.NS</t>
        </is>
      </c>
      <c r="B5" s="52" t="n">
        <v>44812</v>
      </c>
      <c r="C5" s="24" t="n">
        <v>616</v>
      </c>
      <c r="D5" s="53" t="inlineStr">
        <is>
          <t>SHORT</t>
        </is>
      </c>
      <c r="E5" s="26" t="n">
        <v>4</v>
      </c>
      <c r="F5" s="54">
        <f>IF(NOT(ISBLANK(E37)),A37,"")</f>
        <v/>
      </c>
      <c r="G5" s="40" t="n"/>
      <c r="H5" s="40" t="n"/>
      <c r="I5" s="22" t="inlineStr">
        <is>
          <t>AXISBANK.NS</t>
        </is>
      </c>
      <c r="J5" s="52" t="n">
        <v>44810</v>
      </c>
      <c r="K5" s="24" t="n">
        <v>749.700012</v>
      </c>
      <c r="L5" s="53" t="inlineStr">
        <is>
          <t>SHORT</t>
        </is>
      </c>
      <c r="M5" s="26" t="n"/>
      <c r="N5" s="54">
        <f>IF(NOT(ISBLANK(M5)),I5,"")</f>
        <v/>
      </c>
    </row>
    <row r="6">
      <c r="A6" s="22" t="inlineStr">
        <is>
          <t>SUNPHARMA.NS</t>
        </is>
      </c>
      <c r="B6" s="52" t="n">
        <v>44812</v>
      </c>
      <c r="C6" s="24" t="n">
        <v>898.25</v>
      </c>
      <c r="D6" s="53" t="inlineStr">
        <is>
          <t>LONG</t>
        </is>
      </c>
      <c r="E6" s="26" t="n">
        <v>3</v>
      </c>
      <c r="F6" s="54">
        <f>IF(NOT(ISBLANK(E22)),A22,"")</f>
        <v/>
      </c>
      <c r="G6" s="40" t="n"/>
      <c r="H6" s="40" t="n"/>
      <c r="I6" s="22" t="inlineStr">
        <is>
          <t>AXISBANK.NS</t>
        </is>
      </c>
      <c r="J6" s="52" t="n">
        <v>44811</v>
      </c>
      <c r="K6" s="24" t="n">
        <v>736.049988</v>
      </c>
      <c r="L6" s="53" t="inlineStr">
        <is>
          <t>SHORT</t>
        </is>
      </c>
      <c r="M6" s="26" t="n"/>
      <c r="N6" s="54">
        <f>IF(NOT(ISBLANK(M6)),I6,"")</f>
        <v/>
      </c>
    </row>
    <row r="7">
      <c r="A7" s="28" t="inlineStr">
        <is>
          <t>TCS.NS</t>
        </is>
      </c>
      <c r="B7" s="55" t="n">
        <v>44812</v>
      </c>
      <c r="C7" s="30" t="n">
        <v>3170</v>
      </c>
      <c r="D7" s="56" t="inlineStr">
        <is>
          <t>LONG</t>
        </is>
      </c>
      <c r="E7" s="32" t="n">
        <v>2</v>
      </c>
      <c r="F7" s="57">
        <f>IF(NOT(ISBLANK(E12)),A12,"")</f>
        <v/>
      </c>
      <c r="G7" s="40" t="n"/>
      <c r="H7" s="40" t="n"/>
      <c r="I7" s="28" t="inlineStr">
        <is>
          <t>AXISBANK.NS</t>
        </is>
      </c>
      <c r="J7" s="55" t="n">
        <v>44812</v>
      </c>
      <c r="K7" s="30" t="n">
        <v>744.849976</v>
      </c>
      <c r="L7" s="56" t="inlineStr">
        <is>
          <t>SHORT</t>
        </is>
      </c>
      <c r="M7" s="32" t="n">
        <v>15</v>
      </c>
      <c r="N7" s="58">
        <f>IF(NOT(ISBLANK(M7)),I7,"")</f>
        <v/>
      </c>
    </row>
    <row r="8">
      <c r="A8" s="15" t="inlineStr">
        <is>
          <t>LT.NS</t>
        </is>
      </c>
      <c r="B8" s="49" t="n">
        <v>44812</v>
      </c>
      <c r="C8" s="17" t="n">
        <v>3170</v>
      </c>
      <c r="D8" s="50" t="inlineStr">
        <is>
          <t>LONG</t>
        </is>
      </c>
      <c r="E8" s="19" t="n">
        <v>2</v>
      </c>
      <c r="F8" s="51">
        <f>IF(NOT(ISBLANK(E17)),A17,"")</f>
        <v/>
      </c>
      <c r="G8" s="40" t="n"/>
      <c r="H8" s="40" t="n"/>
      <c r="I8" s="15" t="inlineStr">
        <is>
          <t>UPL.NS</t>
        </is>
      </c>
      <c r="J8" s="49" t="n">
        <v>44806</v>
      </c>
      <c r="K8" s="17" t="n">
        <v>760.25</v>
      </c>
      <c r="L8" s="50" t="inlineStr">
        <is>
          <t>SHORT</t>
        </is>
      </c>
      <c r="M8" s="19" t="n"/>
      <c r="N8" s="51">
        <f>IF(NOT(ISBLANK(M8)),I8,"")</f>
        <v/>
      </c>
    </row>
    <row r="9">
      <c r="A9" s="22" t="n"/>
      <c r="B9" s="52" t="inlineStr">
        <is>
          <t>DATE</t>
        </is>
      </c>
      <c r="C9" s="24" t="inlineStr">
        <is>
          <t>OPEN</t>
        </is>
      </c>
      <c r="D9" s="53" t="inlineStr">
        <is>
          <t>SIGNAL</t>
        </is>
      </c>
      <c r="E9" s="26" t="n"/>
      <c r="F9" s="54" t="n"/>
      <c r="G9" s="40" t="n"/>
      <c r="H9" s="40" t="n"/>
      <c r="I9" s="22" t="inlineStr">
        <is>
          <t>UPL.NS</t>
        </is>
      </c>
      <c r="J9" s="52" t="n">
        <v>44809</v>
      </c>
      <c r="K9" s="24" t="n">
        <v>741.349976</v>
      </c>
      <c r="L9" s="53" t="inlineStr">
        <is>
          <t>SHORT</t>
        </is>
      </c>
      <c r="M9" s="26" t="n"/>
      <c r="N9" s="54">
        <f>IF(NOT(ISBLANK(M9)),I9,"")</f>
        <v/>
      </c>
    </row>
    <row r="10">
      <c r="A10" s="22" t="inlineStr">
        <is>
          <t>^NSEI</t>
        </is>
      </c>
      <c r="B10" s="52" t="n">
        <v>44806</v>
      </c>
      <c r="C10" s="24" t="n">
        <v>17598.400391</v>
      </c>
      <c r="D10" s="53" t="inlineStr">
        <is>
          <t>LONG</t>
        </is>
      </c>
      <c r="E10" s="26" t="n"/>
      <c r="F10" s="54">
        <f>IF(NOT(ISBLANK(E3)),A3,"")</f>
        <v/>
      </c>
      <c r="G10" s="40" t="n"/>
      <c r="H10" s="40" t="n"/>
      <c r="I10" s="22" t="inlineStr">
        <is>
          <t>UPL.NS</t>
        </is>
      </c>
      <c r="J10" s="52" t="n">
        <v>44810</v>
      </c>
      <c r="K10" s="24" t="n">
        <v>749.700012</v>
      </c>
      <c r="L10" s="53" t="inlineStr">
        <is>
          <t>SHORT</t>
        </is>
      </c>
      <c r="M10" s="26" t="n"/>
      <c r="N10" s="54">
        <f>IF(NOT(ISBLANK(M10)),I10,"")</f>
        <v/>
      </c>
    </row>
    <row r="11">
      <c r="A11" s="22" t="inlineStr">
        <is>
          <t>^NSEI</t>
        </is>
      </c>
      <c r="B11" s="52" t="n">
        <v>44809</v>
      </c>
      <c r="C11" s="24" t="n">
        <v>17546.449219</v>
      </c>
      <c r="D11" s="53" t="inlineStr">
        <is>
          <t>LONG</t>
        </is>
      </c>
      <c r="E11" s="26" t="n"/>
      <c r="F11" s="54">
        <f>IF(NOT(ISBLANK(E4)),A4,"")</f>
        <v/>
      </c>
      <c r="G11" s="40" t="n"/>
      <c r="H11" s="40" t="n"/>
      <c r="I11" s="22" t="inlineStr">
        <is>
          <t>UPL.NS</t>
        </is>
      </c>
      <c r="J11" s="52" t="n">
        <v>44811</v>
      </c>
      <c r="K11" s="24" t="n">
        <v>736.049988</v>
      </c>
      <c r="L11" s="53" t="inlineStr">
        <is>
          <t>SHORT</t>
        </is>
      </c>
      <c r="M11" s="26" t="n"/>
      <c r="N11" s="54">
        <f>IF(NOT(ISBLANK(M11)),I11,"")</f>
        <v/>
      </c>
    </row>
    <row r="12">
      <c r="A12" s="28" t="inlineStr">
        <is>
          <t>^NSEI</t>
        </is>
      </c>
      <c r="B12" s="55" t="n">
        <v>44810</v>
      </c>
      <c r="C12" s="30" t="n">
        <v>17695.699219</v>
      </c>
      <c r="D12" s="56" t="inlineStr">
        <is>
          <t>LONG</t>
        </is>
      </c>
      <c r="E12" s="32" t="n"/>
      <c r="F12" s="57">
        <f>IF(NOT(ISBLANK(E5)),A5,"")</f>
        <v/>
      </c>
      <c r="G12" s="40" t="n"/>
      <c r="H12" s="40" t="n"/>
      <c r="I12" s="28" t="inlineStr">
        <is>
          <t>UPL.NS</t>
        </is>
      </c>
      <c r="J12" s="55" t="n">
        <v>44812</v>
      </c>
      <c r="K12" s="30" t="n">
        <v>744.849976</v>
      </c>
      <c r="L12" s="56" t="inlineStr">
        <is>
          <t>SHORT</t>
        </is>
      </c>
      <c r="M12" s="32" t="n">
        <v>15</v>
      </c>
      <c r="N12" s="57">
        <f>IF(NOT(ISBLANK(M12)),I12,"")</f>
        <v/>
      </c>
    </row>
    <row r="13">
      <c r="A13" s="15" t="inlineStr">
        <is>
          <t>^NSEI</t>
        </is>
      </c>
      <c r="B13" s="49" t="n">
        <v>44811</v>
      </c>
      <c r="C13" s="17" t="n">
        <v>17519.400391</v>
      </c>
      <c r="D13" s="50" t="inlineStr">
        <is>
          <t>LONG</t>
        </is>
      </c>
      <c r="E13" s="19" t="n"/>
      <c r="F13" s="51">
        <f>IF(NOT(ISBLANK(E6)),A6,"")</f>
        <v/>
      </c>
      <c r="G13" s="40" t="n"/>
      <c r="H13" s="40" t="n"/>
      <c r="I13" s="15" t="inlineStr">
        <is>
          <t>^NSEI</t>
        </is>
      </c>
      <c r="J13" s="49" t="n">
        <v>44806</v>
      </c>
      <c r="K13" s="17" t="n">
        <v>17598.400391</v>
      </c>
      <c r="L13" s="50" t="inlineStr">
        <is>
          <t>LONG</t>
        </is>
      </c>
      <c r="M13" s="19" t="n"/>
      <c r="N13" s="51">
        <f>IF(NOT(ISBLANK(M13)),I13,"")</f>
        <v/>
      </c>
    </row>
    <row r="14">
      <c r="A14" s="22" t="inlineStr">
        <is>
          <t>TCS.NS</t>
        </is>
      </c>
      <c r="B14" s="52" t="n">
        <v>44806</v>
      </c>
      <c r="C14" s="24" t="n">
        <v>3163</v>
      </c>
      <c r="D14" s="53" t="inlineStr">
        <is>
          <t>SHORT</t>
        </is>
      </c>
      <c r="E14" s="26" t="n"/>
      <c r="F14" s="54">
        <f>IF(NOT(ISBLANK(E8)),A8,"")</f>
        <v/>
      </c>
      <c r="G14" s="40" t="n"/>
      <c r="H14" s="40" t="n"/>
      <c r="I14" s="22" t="inlineStr">
        <is>
          <t>^NSEI</t>
        </is>
      </c>
      <c r="J14" s="52" t="n">
        <v>44809</v>
      </c>
      <c r="K14" s="24" t="n">
        <v>17546.449219</v>
      </c>
      <c r="L14" s="53" t="inlineStr">
        <is>
          <t>LONG</t>
        </is>
      </c>
      <c r="M14" s="26" t="n"/>
      <c r="N14" s="54">
        <f>IF(NOT(ISBLANK(M14)),I14,"")</f>
        <v/>
      </c>
    </row>
    <row r="15">
      <c r="A15" s="22" t="inlineStr">
        <is>
          <t>TCS.NS</t>
        </is>
      </c>
      <c r="B15" s="52" t="n">
        <v>44809</v>
      </c>
      <c r="C15" s="24" t="n">
        <v>3123.649902</v>
      </c>
      <c r="D15" s="53" t="inlineStr">
        <is>
          <t>SHORT</t>
        </is>
      </c>
      <c r="E15" s="26" t="n"/>
      <c r="F15" s="54">
        <f>IF(NOT(ISBLANK(E9)),A9,"")</f>
        <v/>
      </c>
      <c r="G15" s="40" t="n"/>
      <c r="H15" s="40" t="n"/>
      <c r="I15" s="22" t="inlineStr">
        <is>
          <t>^NSEI</t>
        </is>
      </c>
      <c r="J15" s="52" t="n">
        <v>44810</v>
      </c>
      <c r="K15" s="24" t="n">
        <v>17695.699219</v>
      </c>
      <c r="L15" s="53" t="inlineStr">
        <is>
          <t>LONG</t>
        </is>
      </c>
      <c r="M15" s="26" t="n"/>
      <c r="N15" s="54">
        <f>IF(NOT(ISBLANK(M15)),I15,"")</f>
        <v/>
      </c>
    </row>
    <row r="16">
      <c r="A16" s="22" t="inlineStr">
        <is>
          <t>TCS.NS</t>
        </is>
      </c>
      <c r="B16" s="52" t="n">
        <v>44810</v>
      </c>
      <c r="C16" s="24" t="n">
        <v>3135.5</v>
      </c>
      <c r="D16" s="53" t="inlineStr">
        <is>
          <t>SHORT</t>
        </is>
      </c>
      <c r="E16" s="26" t="n"/>
      <c r="F16" s="54">
        <f>IF(NOT(ISBLANK(E10)),A10,"")</f>
        <v/>
      </c>
      <c r="G16" s="40" t="n"/>
      <c r="H16" s="40" t="n"/>
      <c r="I16" s="22" t="inlineStr">
        <is>
          <t>^NSEI</t>
        </is>
      </c>
      <c r="J16" s="52" t="n">
        <v>44811</v>
      </c>
      <c r="K16" s="24" t="n">
        <v>17519.400391</v>
      </c>
      <c r="L16" s="53" t="inlineStr">
        <is>
          <t>LONG</t>
        </is>
      </c>
      <c r="M16" s="26" t="n"/>
      <c r="N16" s="54">
        <f>IF(NOT(ISBLANK(M16)),I16,"")</f>
        <v/>
      </c>
    </row>
    <row r="17">
      <c r="A17" s="28" t="inlineStr">
        <is>
          <t>TCS.NS</t>
        </is>
      </c>
      <c r="B17" s="55" t="n">
        <v>44811</v>
      </c>
      <c r="C17" s="30" t="n">
        <v>3102</v>
      </c>
      <c r="D17" s="56" t="inlineStr">
        <is>
          <t>LONG</t>
        </is>
      </c>
      <c r="E17" s="32" t="n"/>
      <c r="F17" s="57">
        <f>IF(NOT(ISBLANK(E11)),A11,"")</f>
        <v/>
      </c>
      <c r="G17" s="40" t="n"/>
      <c r="H17" s="40" t="n"/>
      <c r="I17" s="28" t="inlineStr">
        <is>
          <t>^NSEI</t>
        </is>
      </c>
      <c r="J17" s="55" t="n">
        <v>44812</v>
      </c>
      <c r="K17" s="30" t="n">
        <v>17748.150391</v>
      </c>
      <c r="L17" s="56" t="inlineStr">
        <is>
          <t>LONG</t>
        </is>
      </c>
      <c r="M17" s="32" t="n">
        <v>7</v>
      </c>
      <c r="N17" s="57">
        <f>IF(NOT(ISBLANK(M17)),I17,"")</f>
        <v/>
      </c>
    </row>
    <row r="18">
      <c r="A18" s="15" t="inlineStr">
        <is>
          <t>LT.NS</t>
        </is>
      </c>
      <c r="B18" s="49" t="n">
        <v>44806</v>
      </c>
      <c r="C18" s="17" t="n">
        <v>3163</v>
      </c>
      <c r="D18" s="50" t="inlineStr">
        <is>
          <t>SHORT</t>
        </is>
      </c>
      <c r="E18" s="19" t="n"/>
      <c r="F18" s="51">
        <f>IF(NOT(ISBLANK(E13)),A13,"")</f>
        <v/>
      </c>
      <c r="G18" s="40" t="n"/>
      <c r="H18" s="40" t="n"/>
      <c r="I18" s="15" t="inlineStr">
        <is>
          <t>JUBLFOOD.NS</t>
        </is>
      </c>
      <c r="J18" s="49" t="n">
        <v>44806</v>
      </c>
      <c r="K18" s="17" t="n">
        <v>616</v>
      </c>
      <c r="L18" s="50" t="inlineStr">
        <is>
          <t>LONG</t>
        </is>
      </c>
      <c r="M18" s="19" t="n"/>
      <c r="N18" s="51">
        <f>IF(NOT(ISBLANK(M18)),I18,"")</f>
        <v/>
      </c>
    </row>
    <row r="19">
      <c r="A19" s="22" t="inlineStr">
        <is>
          <t>LT.NS</t>
        </is>
      </c>
      <c r="B19" s="52" t="n">
        <v>44809</v>
      </c>
      <c r="C19" s="24" t="n">
        <v>3123.649902</v>
      </c>
      <c r="D19" s="53" t="inlineStr">
        <is>
          <t>SHORT</t>
        </is>
      </c>
      <c r="E19" s="26" t="n"/>
      <c r="F19" s="54">
        <f>IF(NOT(ISBLANK(E14)),A14,"")</f>
        <v/>
      </c>
      <c r="G19" s="40" t="n"/>
      <c r="H19" s="40" t="n"/>
      <c r="I19" s="22" t="inlineStr">
        <is>
          <t>JUBLFOOD.NS</t>
        </is>
      </c>
      <c r="J19" s="52" t="n">
        <v>44809</v>
      </c>
      <c r="K19" s="24" t="n">
        <v>607</v>
      </c>
      <c r="L19" s="53" t="inlineStr">
        <is>
          <t>SHORT</t>
        </is>
      </c>
      <c r="M19" s="26" t="n"/>
      <c r="N19" s="54">
        <f>IF(NOT(ISBLANK(M19)),I19,"")</f>
        <v/>
      </c>
    </row>
    <row r="20">
      <c r="A20" s="22" t="inlineStr">
        <is>
          <t>LT.NS</t>
        </is>
      </c>
      <c r="B20" s="52" t="n">
        <v>44810</v>
      </c>
      <c r="C20" s="24" t="n">
        <v>3135.5</v>
      </c>
      <c r="D20" s="53" t="inlineStr">
        <is>
          <t>SHORT</t>
        </is>
      </c>
      <c r="E20" s="26" t="n"/>
      <c r="F20" s="54">
        <f>IF(NOT(ISBLANK(E15)),A15,"")</f>
        <v/>
      </c>
      <c r="G20" s="40" t="n"/>
      <c r="H20" s="40" t="n"/>
      <c r="I20" s="22" t="inlineStr">
        <is>
          <t>JUBLFOOD.NS</t>
        </is>
      </c>
      <c r="J20" s="52" t="n">
        <v>44810</v>
      </c>
      <c r="K20" s="24" t="n">
        <v>605</v>
      </c>
      <c r="L20" s="53" t="inlineStr">
        <is>
          <t>SHORT</t>
        </is>
      </c>
      <c r="M20" s="26" t="n"/>
      <c r="N20" s="54">
        <f>IF(NOT(ISBLANK(M20)),I20,"")</f>
        <v/>
      </c>
    </row>
    <row r="21">
      <c r="A21" s="22" t="inlineStr">
        <is>
          <t>LT.NS</t>
        </is>
      </c>
      <c r="B21" s="52" t="n">
        <v>44811</v>
      </c>
      <c r="C21" s="24" t="n">
        <v>3102</v>
      </c>
      <c r="D21" s="53" t="inlineStr">
        <is>
          <t>LONG</t>
        </is>
      </c>
      <c r="E21" s="26" t="n"/>
      <c r="F21" s="54">
        <f>IF(NOT(ISBLANK(E16)),A16,"")</f>
        <v/>
      </c>
      <c r="G21" s="40" t="n"/>
      <c r="H21" s="40" t="n"/>
      <c r="I21" s="22" t="inlineStr">
        <is>
          <t>JUBLFOOD.NS</t>
        </is>
      </c>
      <c r="J21" s="52" t="n">
        <v>44811</v>
      </c>
      <c r="K21" s="24" t="n">
        <v>608.950012</v>
      </c>
      <c r="L21" s="53" t="inlineStr">
        <is>
          <t>SHORT</t>
        </is>
      </c>
      <c r="M21" s="26" t="n"/>
      <c r="N21" s="54">
        <f>IF(NOT(ISBLANK(M21)),I21,"")</f>
        <v/>
      </c>
    </row>
    <row r="22">
      <c r="A22" s="28" t="inlineStr">
        <is>
          <t>SUNPHARMA.NS</t>
        </is>
      </c>
      <c r="B22" s="55" t="n">
        <v>44806</v>
      </c>
      <c r="C22" s="30" t="n">
        <v>872.900024</v>
      </c>
      <c r="D22" s="56" t="inlineStr">
        <is>
          <t>SHORT</t>
        </is>
      </c>
      <c r="E22" s="32" t="n"/>
      <c r="F22" s="57">
        <f>IF(NOT(ISBLANK(E18)),A18,"")</f>
        <v/>
      </c>
      <c r="G22" s="40" t="n"/>
      <c r="H22" s="40" t="n"/>
      <c r="I22" s="28" t="inlineStr">
        <is>
          <t>JUBLFOOD.NS</t>
        </is>
      </c>
      <c r="J22" s="55" t="n">
        <v>44812</v>
      </c>
      <c r="K22" s="30" t="n">
        <v>616</v>
      </c>
      <c r="L22" s="56" t="inlineStr">
        <is>
          <t>SHORT</t>
        </is>
      </c>
      <c r="M22" s="32" t="n">
        <v>4</v>
      </c>
      <c r="N22" s="57">
        <f>IF(NOT(ISBLANK(M22)),I22,"")</f>
        <v/>
      </c>
    </row>
    <row r="23">
      <c r="A23" s="15" t="inlineStr">
        <is>
          <t>SUNPHARMA.NS</t>
        </is>
      </c>
      <c r="B23" s="49" t="n">
        <v>44809</v>
      </c>
      <c r="C23" s="17" t="n">
        <v>869</v>
      </c>
      <c r="D23" s="50" t="inlineStr">
        <is>
          <t>SHORT</t>
        </is>
      </c>
      <c r="E23" s="19" t="n"/>
      <c r="F23" s="51">
        <f>IF(NOT(ISBLANK(E19)),A19,"")</f>
        <v/>
      </c>
      <c r="G23" s="40" t="n"/>
      <c r="H23" s="40" t="n"/>
      <c r="I23" s="15" t="inlineStr">
        <is>
          <t>SUNPHARMA.NS</t>
        </is>
      </c>
      <c r="J23" s="49" t="n">
        <v>44806</v>
      </c>
      <c r="K23" s="17" t="n">
        <v>872.900024</v>
      </c>
      <c r="L23" s="50" t="inlineStr">
        <is>
          <t>SHORT</t>
        </is>
      </c>
      <c r="M23" s="19" t="n"/>
      <c r="N23" s="51">
        <f>IF(NOT(ISBLANK(M23)),I23,"")</f>
        <v/>
      </c>
    </row>
    <row r="24">
      <c r="A24" s="22" t="inlineStr">
        <is>
          <t>SUNPHARMA.NS</t>
        </is>
      </c>
      <c r="B24" s="52" t="n">
        <v>44810</v>
      </c>
      <c r="C24" s="24" t="n">
        <v>887</v>
      </c>
      <c r="D24" s="53" t="inlineStr">
        <is>
          <t>LONG</t>
        </is>
      </c>
      <c r="E24" s="26" t="n"/>
      <c r="F24" s="54">
        <f>IF(NOT(ISBLANK(E20)),A20,"")</f>
        <v/>
      </c>
      <c r="G24" s="40" t="n"/>
      <c r="H24" s="40" t="n"/>
      <c r="I24" s="22" t="inlineStr">
        <is>
          <t>SUNPHARMA.NS</t>
        </is>
      </c>
      <c r="J24" s="52" t="n">
        <v>44809</v>
      </c>
      <c r="K24" s="24" t="n">
        <v>869</v>
      </c>
      <c r="L24" s="53" t="inlineStr">
        <is>
          <t>SHORT</t>
        </is>
      </c>
      <c r="M24" s="26" t="n"/>
      <c r="N24" s="54">
        <f>IF(NOT(ISBLANK(M24)),I24,"")</f>
        <v/>
      </c>
    </row>
    <row r="25">
      <c r="A25" s="22" t="inlineStr">
        <is>
          <t>SUNPHARMA.NS</t>
        </is>
      </c>
      <c r="B25" s="52" t="n">
        <v>44811</v>
      </c>
      <c r="C25" s="24" t="n">
        <v>879.5</v>
      </c>
      <c r="D25" s="53" t="inlineStr">
        <is>
          <t>LONG</t>
        </is>
      </c>
      <c r="E25" s="26" t="n"/>
      <c r="F25" s="54">
        <f>IF(NOT(ISBLANK(E21)),A21,"")</f>
        <v/>
      </c>
      <c r="G25" s="40" t="n"/>
      <c r="H25" s="40" t="n"/>
      <c r="I25" s="22" t="inlineStr">
        <is>
          <t>SUNPHARMA.NS</t>
        </is>
      </c>
      <c r="J25" s="52" t="n">
        <v>44810</v>
      </c>
      <c r="K25" s="24" t="n">
        <v>887</v>
      </c>
      <c r="L25" s="53" t="inlineStr">
        <is>
          <t>LONG</t>
        </is>
      </c>
      <c r="M25" s="26" t="n"/>
      <c r="N25" s="54">
        <f>IF(NOT(ISBLANK(M25)),I25,"")</f>
        <v/>
      </c>
    </row>
    <row r="26">
      <c r="A26" s="22" t="inlineStr">
        <is>
          <t>UPL.NS</t>
        </is>
      </c>
      <c r="B26" s="52" t="n">
        <v>44806</v>
      </c>
      <c r="C26" s="24" t="n">
        <v>760.25</v>
      </c>
      <c r="D26" s="53" t="inlineStr">
        <is>
          <t>SHORT</t>
        </is>
      </c>
      <c r="E26" s="26" t="n"/>
      <c r="F26" s="54">
        <f>IF(NOT(ISBLANK(E23)),A23,"")</f>
        <v/>
      </c>
      <c r="G26" s="40" t="n"/>
      <c r="H26" s="40" t="n"/>
      <c r="I26" s="22" t="inlineStr">
        <is>
          <t>SUNPHARMA.NS</t>
        </is>
      </c>
      <c r="J26" s="52" t="n">
        <v>44811</v>
      </c>
      <c r="K26" s="24" t="n">
        <v>879.5</v>
      </c>
      <c r="L26" s="53" t="inlineStr">
        <is>
          <t>LONG</t>
        </is>
      </c>
      <c r="M26" s="26" t="n"/>
      <c r="N26" s="54">
        <f>IF(NOT(ISBLANK(M26)),I26,"")</f>
        <v/>
      </c>
    </row>
    <row r="27">
      <c r="A27" s="28" t="inlineStr">
        <is>
          <t>UPL.NS</t>
        </is>
      </c>
      <c r="B27" s="55" t="n">
        <v>44809</v>
      </c>
      <c r="C27" s="30" t="n">
        <v>741.349976</v>
      </c>
      <c r="D27" s="56" t="inlineStr">
        <is>
          <t>SHORT</t>
        </is>
      </c>
      <c r="E27" s="32" t="n"/>
      <c r="F27" s="57">
        <f>IF(NOT(ISBLANK(E24)),A24,"")</f>
        <v/>
      </c>
      <c r="G27" s="40" t="n"/>
      <c r="H27" s="40" t="n"/>
      <c r="I27" s="28" t="inlineStr">
        <is>
          <t>SUNPHARMA.NS</t>
        </is>
      </c>
      <c r="J27" s="55" t="n">
        <v>44812</v>
      </c>
      <c r="K27" s="30" t="n">
        <v>898.25</v>
      </c>
      <c r="L27" s="56" t="inlineStr">
        <is>
          <t>LONG</t>
        </is>
      </c>
      <c r="M27" s="32" t="n">
        <v>3</v>
      </c>
      <c r="N27" s="57">
        <f>IF(NOT(ISBLANK(M27)),I27,"")</f>
        <v/>
      </c>
    </row>
    <row r="28">
      <c r="A28" s="15" t="inlineStr">
        <is>
          <t>UPL.NS</t>
        </is>
      </c>
      <c r="B28" s="49" t="n">
        <v>44810</v>
      </c>
      <c r="C28" s="17" t="n">
        <v>749.700012</v>
      </c>
      <c r="D28" s="50" t="inlineStr">
        <is>
          <t>SHORT</t>
        </is>
      </c>
      <c r="E28" s="19" t="n"/>
      <c r="F28" s="51">
        <f>IF(NOT(ISBLANK(E25)),A25,"")</f>
        <v/>
      </c>
      <c r="G28" s="40" t="n"/>
      <c r="H28" s="40" t="n"/>
      <c r="I28" s="15" t="inlineStr">
        <is>
          <t>LT.NS</t>
        </is>
      </c>
      <c r="J28" s="49" t="n">
        <v>44806</v>
      </c>
      <c r="K28" s="17" t="n">
        <v>3163</v>
      </c>
      <c r="L28" s="50" t="inlineStr">
        <is>
          <t>SHORT</t>
        </is>
      </c>
      <c r="M28" s="19" t="n"/>
      <c r="N28" s="51">
        <f>IF(NOT(ISBLANK(M28)),I28,"")</f>
        <v/>
      </c>
    </row>
    <row r="29">
      <c r="A29" s="22" t="inlineStr">
        <is>
          <t>UPL.NS</t>
        </is>
      </c>
      <c r="B29" s="52" t="n">
        <v>44811</v>
      </c>
      <c r="C29" s="24" t="n">
        <v>736.049988</v>
      </c>
      <c r="D29" s="53" t="inlineStr">
        <is>
          <t>SHORT</t>
        </is>
      </c>
      <c r="E29" s="26" t="n"/>
      <c r="F29" s="54">
        <f>IF(NOT(ISBLANK(E26)),A26,"")</f>
        <v/>
      </c>
      <c r="G29" s="40" t="n"/>
      <c r="H29" s="40" t="n"/>
      <c r="I29" s="22" t="inlineStr">
        <is>
          <t>LT.NS</t>
        </is>
      </c>
      <c r="J29" s="52" t="n">
        <v>44809</v>
      </c>
      <c r="K29" s="24" t="n">
        <v>3123.649902</v>
      </c>
      <c r="L29" s="53" t="inlineStr">
        <is>
          <t>SHORT</t>
        </is>
      </c>
      <c r="M29" s="26" t="n"/>
      <c r="N29" s="54">
        <f>IF(NOT(ISBLANK(M29)),I29,"")</f>
        <v/>
      </c>
    </row>
    <row r="30">
      <c r="A30" s="22" t="inlineStr">
        <is>
          <t>AXISBANK.NS</t>
        </is>
      </c>
      <c r="B30" s="52" t="n">
        <v>44806</v>
      </c>
      <c r="C30" s="24" t="n">
        <v>760.25</v>
      </c>
      <c r="D30" s="53" t="inlineStr">
        <is>
          <t>SHORT</t>
        </is>
      </c>
      <c r="E30" s="26" t="n"/>
      <c r="F30" s="54">
        <f>IF(NOT(ISBLANK(E28)),A28,"")</f>
        <v/>
      </c>
      <c r="G30" s="40" t="n"/>
      <c r="H30" s="40" t="n"/>
      <c r="I30" s="22" t="inlineStr">
        <is>
          <t>LT.NS</t>
        </is>
      </c>
      <c r="J30" s="52" t="n">
        <v>44810</v>
      </c>
      <c r="K30" s="24" t="n">
        <v>3135.5</v>
      </c>
      <c r="L30" s="53" t="inlineStr">
        <is>
          <t>SHORT</t>
        </is>
      </c>
      <c r="M30" s="26" t="n"/>
      <c r="N30" s="54">
        <f>IF(NOT(ISBLANK(M30)),I30,"")</f>
        <v/>
      </c>
    </row>
    <row r="31">
      <c r="A31" s="22" t="inlineStr">
        <is>
          <t>AXISBANK.NS</t>
        </is>
      </c>
      <c r="B31" s="52" t="n">
        <v>44809</v>
      </c>
      <c r="C31" s="24" t="n">
        <v>741.349976</v>
      </c>
      <c r="D31" s="53" t="inlineStr">
        <is>
          <t>SHORT</t>
        </is>
      </c>
      <c r="E31" s="26" t="n"/>
      <c r="F31" s="54">
        <f>IF(NOT(ISBLANK(E29)),A29,"")</f>
        <v/>
      </c>
      <c r="G31" s="40" t="n"/>
      <c r="H31" s="40" t="n"/>
      <c r="I31" s="22" t="inlineStr">
        <is>
          <t>LT.NS</t>
        </is>
      </c>
      <c r="J31" s="52" t="n">
        <v>44811</v>
      </c>
      <c r="K31" s="24" t="n">
        <v>3102</v>
      </c>
      <c r="L31" s="53" t="inlineStr">
        <is>
          <t>LONG</t>
        </is>
      </c>
      <c r="M31" s="26" t="n"/>
      <c r="N31" s="54">
        <f>IF(NOT(ISBLANK(M31)),I31,"")</f>
        <v/>
      </c>
    </row>
    <row r="32">
      <c r="A32" s="28" t="inlineStr">
        <is>
          <t>AXISBANK.NS</t>
        </is>
      </c>
      <c r="B32" s="55" t="n">
        <v>44810</v>
      </c>
      <c r="C32" s="30" t="n">
        <v>749.700012</v>
      </c>
      <c r="D32" s="56" t="inlineStr">
        <is>
          <t>SHORT</t>
        </is>
      </c>
      <c r="E32" s="32" t="n"/>
      <c r="F32" s="58">
        <f>IF(NOT(ISBLANK(E30)),A30,"")</f>
        <v/>
      </c>
      <c r="G32" s="40" t="n"/>
      <c r="H32" s="40" t="n"/>
      <c r="I32" s="28" t="inlineStr">
        <is>
          <t>LT.NS</t>
        </is>
      </c>
      <c r="J32" s="55" t="n">
        <v>44812</v>
      </c>
      <c r="K32" s="30" t="n">
        <v>3170</v>
      </c>
      <c r="L32" s="56" t="inlineStr">
        <is>
          <t>LONG</t>
        </is>
      </c>
      <c r="M32" s="32" t="n">
        <v>2</v>
      </c>
      <c r="N32" s="57">
        <f>IF(NOT(ISBLANK(M32)),I32,"")</f>
        <v/>
      </c>
    </row>
    <row r="33">
      <c r="A33" s="15" t="inlineStr">
        <is>
          <t>AXISBANK.NS</t>
        </is>
      </c>
      <c r="B33" s="49" t="n">
        <v>44811</v>
      </c>
      <c r="C33" s="17" t="n">
        <v>736.049988</v>
      </c>
      <c r="D33" s="50" t="inlineStr">
        <is>
          <t>SHORT</t>
        </is>
      </c>
      <c r="E33" s="19" t="n"/>
      <c r="F33" s="51">
        <f>IF(NOT(ISBLANK(E31)),A31,"")</f>
        <v/>
      </c>
      <c r="G33" s="40" t="n"/>
      <c r="H33" s="40" t="n"/>
      <c r="I33" s="15" t="inlineStr">
        <is>
          <t>TCS.NS</t>
        </is>
      </c>
      <c r="J33" s="49" t="n">
        <v>44806</v>
      </c>
      <c r="K33" s="17" t="n">
        <v>3163</v>
      </c>
      <c r="L33" s="50" t="inlineStr">
        <is>
          <t>SHORT</t>
        </is>
      </c>
      <c r="M33" s="19" t="n"/>
      <c r="N33" s="51">
        <f>IF(NOT(ISBLANK(M33)),I33,"")</f>
        <v/>
      </c>
    </row>
    <row r="34">
      <c r="A34" s="22" t="inlineStr">
        <is>
          <t>JUBLFOOD.NS</t>
        </is>
      </c>
      <c r="B34" s="52" t="n">
        <v>44806</v>
      </c>
      <c r="C34" s="24" t="n">
        <v>616</v>
      </c>
      <c r="D34" s="53" t="inlineStr">
        <is>
          <t>LONG</t>
        </is>
      </c>
      <c r="E34" s="26" t="n"/>
      <c r="F34" s="54">
        <f>IF(NOT(ISBLANK(E33)),A33,"")</f>
        <v/>
      </c>
      <c r="G34" s="40" t="n"/>
      <c r="H34" s="40" t="n"/>
      <c r="I34" s="22" t="inlineStr">
        <is>
          <t>TCS.NS</t>
        </is>
      </c>
      <c r="J34" s="52" t="n">
        <v>44809</v>
      </c>
      <c r="K34" s="24" t="n">
        <v>3123.649902</v>
      </c>
      <c r="L34" s="53" t="inlineStr">
        <is>
          <t>SHORT</t>
        </is>
      </c>
      <c r="M34" s="26" t="n"/>
      <c r="N34" s="54">
        <f>IF(NOT(ISBLANK(M34)),I34,"")</f>
        <v/>
      </c>
    </row>
    <row r="35">
      <c r="A35" s="22" t="inlineStr">
        <is>
          <t>JUBLFOOD.NS</t>
        </is>
      </c>
      <c r="B35" s="52" t="n">
        <v>44809</v>
      </c>
      <c r="C35" s="24" t="n">
        <v>607</v>
      </c>
      <c r="D35" s="53" t="inlineStr">
        <is>
          <t>SHORT</t>
        </is>
      </c>
      <c r="E35" s="26" t="n"/>
      <c r="F35" s="54">
        <f>IF(NOT(ISBLANK(E34)),A34,"")</f>
        <v/>
      </c>
      <c r="G35" s="40" t="n"/>
      <c r="H35" s="40" t="n"/>
      <c r="I35" s="22" t="inlineStr">
        <is>
          <t>TCS.NS</t>
        </is>
      </c>
      <c r="J35" s="52" t="n">
        <v>44810</v>
      </c>
      <c r="K35" s="24" t="n">
        <v>3135.5</v>
      </c>
      <c r="L35" s="53" t="inlineStr">
        <is>
          <t>SHORT</t>
        </is>
      </c>
      <c r="M35" s="26" t="n"/>
      <c r="N35" s="54">
        <f>IF(NOT(ISBLANK(M35)),I35,"")</f>
        <v/>
      </c>
    </row>
    <row r="36">
      <c r="A36" s="22" t="inlineStr">
        <is>
          <t>JUBLFOOD.NS</t>
        </is>
      </c>
      <c r="B36" s="52" t="n">
        <v>44810</v>
      </c>
      <c r="C36" s="24" t="n">
        <v>605</v>
      </c>
      <c r="D36" s="53" t="inlineStr">
        <is>
          <t>SHORT</t>
        </is>
      </c>
      <c r="E36" s="26" t="n"/>
      <c r="F36" s="54">
        <f>IF(NOT(ISBLANK(E35)),A35,"")</f>
        <v/>
      </c>
      <c r="G36" s="40" t="n"/>
      <c r="H36" s="40" t="n"/>
      <c r="I36" s="22" t="inlineStr">
        <is>
          <t>TCS.NS</t>
        </is>
      </c>
      <c r="J36" s="52" t="n">
        <v>44811</v>
      </c>
      <c r="K36" s="24" t="n">
        <v>3102</v>
      </c>
      <c r="L36" s="53" t="inlineStr">
        <is>
          <t>LONG</t>
        </is>
      </c>
      <c r="M36" s="26" t="n"/>
      <c r="N36" s="54">
        <f>IF(NOT(ISBLANK(M36)),I36,"")</f>
        <v/>
      </c>
    </row>
    <row r="37">
      <c r="A37" s="28" t="inlineStr">
        <is>
          <t>JUBLFOOD.NS</t>
        </is>
      </c>
      <c r="B37" s="55" t="n">
        <v>44811</v>
      </c>
      <c r="C37" s="30" t="n">
        <v>608.950012</v>
      </c>
      <c r="D37" s="56" t="inlineStr">
        <is>
          <t>SHORT</t>
        </is>
      </c>
      <c r="E37" s="32" t="n"/>
      <c r="F37" s="57">
        <f>IF(NOT(ISBLANK(E36)),A36,"")</f>
        <v/>
      </c>
      <c r="G37" s="40" t="n"/>
      <c r="H37" s="40" t="n"/>
      <c r="I37" s="28" t="inlineStr">
        <is>
          <t>TCS.NS</t>
        </is>
      </c>
      <c r="J37" s="55" t="n">
        <v>44812</v>
      </c>
      <c r="K37" s="30" t="n">
        <v>3170</v>
      </c>
      <c r="L37" s="56" t="inlineStr">
        <is>
          <t>LONG</t>
        </is>
      </c>
      <c r="M37" s="32" t="n">
        <v>2</v>
      </c>
      <c r="N37" s="57">
        <f>IF(NOT(ISBLANK(M37)),I37,"")</f>
        <v/>
      </c>
    </row>
  </sheetData>
  <mergeCells count="2">
    <mergeCell ref="I1:N1"/>
    <mergeCell ref="A1:F1"/>
  </mergeCells>
  <conditionalFormatting sqref="D3:D37 L3:L37">
    <cfRule type="cellIs" priority="9" operator="equal" dxfId="0" stopIfTrue="1">
      <formula>"LONG"</formula>
    </cfRule>
    <cfRule type="cellIs" priority="10" operator="equal" dxfId="1" stopIfTrue="1">
      <formula>"SHORT"</formula>
    </cfRule>
  </conditionalFormatting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</dc:creator>
  <dcterms:created xsi:type="dcterms:W3CDTF">2022-09-09T09:06:00Z</dcterms:created>
  <dcterms:modified xsi:type="dcterms:W3CDTF">2026-03-23T10:23:28Z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D6047ADDA465434D8E5D4B4855AE458F_12</vt:lpwstr>
  </property>
  <property name="KSOProductBuildVer" fmtid="{D5CDD505-2E9C-101B-9397-08002B2CF9AE}" pid="3">
    <vt:lpwstr>2052-12.1.0.16929</vt:lpwstr>
  </property>
</Properties>
</file>