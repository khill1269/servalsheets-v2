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mm\ yyyy"/>
    <numFmt numFmtId="165" formatCode="dd"/>
    <numFmt numFmtId="166" formatCode="General\ &quot;days&quot;"/>
    <numFmt numFmtId="167" formatCode="dd/mm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4" borderId="8" applyAlignment="1">
      <alignment vertical="center"/>
    </xf>
    <xf numFmtId="0" fontId="11" fillId="5" borderId="9" applyAlignment="1">
      <alignment vertical="center"/>
    </xf>
    <xf numFmtId="0" fontId="12" fillId="5" borderId="8" applyAlignment="1">
      <alignment vertical="center"/>
    </xf>
    <xf numFmtId="0" fontId="13" fillId="6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5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0" fontId="0" fillId="2" borderId="3" pivotButton="0" quotePrefix="0" xfId="0"/>
    <xf numFmtId="167" fontId="1" fillId="0" borderId="0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/>
    </xf>
    <xf numFmtId="164" fontId="0" fillId="0" borderId="0" pivotButton="0" quotePrefix="0" xfId="0"/>
    <xf numFmtId="164" fontId="0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164" fontId="0" fillId="0" borderId="0" pivotButton="0" quotePrefix="0" xfId="0"/>
    <xf numFmtId="165" fontId="0" fillId="0" borderId="3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7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ont>
        <color rgb="FFFF0000"/>
      </font>
    </dxf>
    <dxf>
      <font>
        <b val="1"/>
        <color theme="0"/>
      </font>
      <fill>
        <patternFill patternType="solid"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theme="4" tint="0.599993896298105"/>
          </stop>
        </gradientFill>
      </fill>
    </dxf>
    <dxf>
      <fill>
        <patternFill patternType="solid">
          <bgColor theme="7" tint="0.799981688894314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theme="5" tint="0.79998168889431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L30"/>
  <sheetViews>
    <sheetView tabSelected="1" workbookViewId="0">
      <selection activeCell="G31" sqref="G31"/>
    </sheetView>
  </sheetViews>
  <sheetFormatPr baseColWidth="8" defaultColWidth="9" defaultRowHeight="14"/>
  <cols>
    <col width="12.5666666666667" customWidth="1" min="1" max="1"/>
    <col width="11.2833333333333" customWidth="1" style="1" min="3" max="3"/>
    <col width="13" customWidth="1" style="1" min="4" max="4"/>
    <col width="12.7083333333333" customWidth="1" style="1" min="5" max="5"/>
    <col width="9.141666666666669" customWidth="1" min="6" max="6"/>
    <col width="5.70833333333333" customWidth="1" min="7" max="37"/>
    <col width="4.70833333333333" customWidth="1" min="38" max="40"/>
  </cols>
  <sheetData>
    <row r="3">
      <c r="D3" s="1" t="inlineStr">
        <is>
          <t>Previous</t>
        </is>
      </c>
      <c r="E3" s="1" t="inlineStr">
        <is>
          <t>Next</t>
        </is>
      </c>
      <c r="G3" s="13" t="n">
        <v>44774</v>
      </c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5" t="n"/>
      <c r="AL3" s="16" t="n"/>
    </row>
    <row r="4">
      <c r="D4" s="1" t="inlineStr">
        <is>
          <t>Inspection</t>
        </is>
      </c>
      <c r="E4" s="1" t="inlineStr">
        <is>
          <t>Inspection</t>
        </is>
      </c>
      <c r="G4" s="17">
        <f>G3</f>
        <v/>
      </c>
      <c r="H4" s="17">
        <f>G4+1</f>
        <v/>
      </c>
      <c r="I4" s="17">
        <f>H4+1</f>
        <v/>
      </c>
      <c r="J4" s="17">
        <f>I4+1</f>
        <v/>
      </c>
      <c r="K4" s="17">
        <f>J4+1</f>
        <v/>
      </c>
      <c r="L4" s="17">
        <f>K4+1</f>
        <v/>
      </c>
      <c r="M4" s="17">
        <f>L4+1</f>
        <v/>
      </c>
      <c r="N4" s="17">
        <f>M4+1</f>
        <v/>
      </c>
      <c r="O4" s="17">
        <f>N4+1</f>
        <v/>
      </c>
      <c r="P4" s="17">
        <f>O4+1</f>
        <v/>
      </c>
      <c r="Q4" s="17">
        <f>P4+1</f>
        <v/>
      </c>
      <c r="R4" s="17">
        <f>Q4+1</f>
        <v/>
      </c>
      <c r="S4" s="17">
        <f>R4+1</f>
        <v/>
      </c>
      <c r="T4" s="17">
        <f>S4+1</f>
        <v/>
      </c>
      <c r="U4" s="17">
        <f>T4+1</f>
        <v/>
      </c>
      <c r="V4" s="17">
        <f>U4+1</f>
        <v/>
      </c>
      <c r="W4" s="17">
        <f>V4+1</f>
        <v/>
      </c>
      <c r="X4" s="17">
        <f>W4+1</f>
        <v/>
      </c>
      <c r="Y4" s="17">
        <f>X4+1</f>
        <v/>
      </c>
      <c r="Z4" s="17">
        <f>Y4+1</f>
        <v/>
      </c>
      <c r="AA4" s="17">
        <f>Z4+1</f>
        <v/>
      </c>
      <c r="AB4" s="17">
        <f>AA4+1</f>
        <v/>
      </c>
      <c r="AC4" s="17">
        <f>AB4+1</f>
        <v/>
      </c>
      <c r="AD4" s="17">
        <f>AC4+1</f>
        <v/>
      </c>
      <c r="AE4" s="17">
        <f>AD4+1</f>
        <v/>
      </c>
      <c r="AF4" s="17">
        <f>AE4+1</f>
        <v/>
      </c>
      <c r="AG4" s="17">
        <f>AF4+1</f>
        <v/>
      </c>
      <c r="AH4" s="17">
        <f>AG4+1</f>
        <v/>
      </c>
      <c r="AI4" s="17">
        <f>AH4+1</f>
        <v/>
      </c>
      <c r="AJ4" s="17">
        <f>AI4+1</f>
        <v/>
      </c>
      <c r="AK4" s="17">
        <f>AJ4+1</f>
        <v/>
      </c>
    </row>
    <row r="5">
      <c r="A5" t="inlineStr">
        <is>
          <t>Item No.</t>
        </is>
      </c>
      <c r="B5" t="inlineStr">
        <is>
          <t>Duration</t>
        </is>
      </c>
      <c r="D5" s="1" t="inlineStr">
        <is>
          <t>Date</t>
        </is>
      </c>
      <c r="E5" s="1" t="inlineStr">
        <is>
          <t>Date</t>
        </is>
      </c>
      <c r="G5" s="5">
        <f>TEXT(G4,"ddd")</f>
        <v/>
      </c>
      <c r="H5" s="5">
        <f>TEXT(H4,"ddd")</f>
        <v/>
      </c>
      <c r="I5" s="5">
        <f>TEXT(I4,"ddd")</f>
        <v/>
      </c>
      <c r="J5" s="5">
        <f>TEXT(J4,"ddd")</f>
        <v/>
      </c>
      <c r="K5" s="5">
        <f>TEXT(K4,"ddd")</f>
        <v/>
      </c>
      <c r="L5" s="5">
        <f>TEXT(L4,"ddd")</f>
        <v/>
      </c>
      <c r="M5" s="5">
        <f>TEXT(M4,"ddd")</f>
        <v/>
      </c>
      <c r="N5" s="5">
        <f>TEXT(N4,"ddd")</f>
        <v/>
      </c>
      <c r="O5" s="5">
        <f>TEXT(O4,"ddd")</f>
        <v/>
      </c>
      <c r="P5" s="5">
        <f>TEXT(P4,"ddd")</f>
        <v/>
      </c>
      <c r="Q5" s="5">
        <f>TEXT(Q4,"ddd")</f>
        <v/>
      </c>
      <c r="R5" s="5">
        <f>TEXT(R4,"ddd")</f>
        <v/>
      </c>
      <c r="S5" s="5">
        <f>TEXT(S4,"ddd")</f>
        <v/>
      </c>
      <c r="T5" s="5">
        <f>TEXT(T4,"ddd")</f>
        <v/>
      </c>
      <c r="U5" s="5">
        <f>TEXT(U4,"ddd")</f>
        <v/>
      </c>
      <c r="V5" s="5">
        <f>TEXT(V4,"ddd")</f>
        <v/>
      </c>
      <c r="W5" s="5">
        <f>TEXT(W4,"ddd")</f>
        <v/>
      </c>
      <c r="X5" s="5">
        <f>TEXT(X4,"ddd")</f>
        <v/>
      </c>
      <c r="Y5" s="5">
        <f>TEXT(Y4,"ddd")</f>
        <v/>
      </c>
      <c r="Z5" s="5">
        <f>TEXT(Z4,"ddd")</f>
        <v/>
      </c>
      <c r="AA5" s="5">
        <f>TEXT(AA4,"ddd")</f>
        <v/>
      </c>
      <c r="AB5" s="5">
        <f>TEXT(AB4,"ddd")</f>
        <v/>
      </c>
      <c r="AC5" s="5">
        <f>TEXT(AC4,"ddd")</f>
        <v/>
      </c>
      <c r="AD5" s="5">
        <f>TEXT(AD4,"ddd")</f>
        <v/>
      </c>
      <c r="AE5" s="5">
        <f>TEXT(AE4,"ddd")</f>
        <v/>
      </c>
      <c r="AF5" s="5">
        <f>TEXT(AF4,"ddd")</f>
        <v/>
      </c>
      <c r="AG5" s="5">
        <f>TEXT(AG4,"ddd")</f>
        <v/>
      </c>
      <c r="AH5" s="5">
        <f>TEXT(AH4,"ddd")</f>
        <v/>
      </c>
      <c r="AI5" s="5">
        <f>TEXT(AI4,"ddd")</f>
        <v/>
      </c>
      <c r="AJ5" s="5">
        <f>TEXT(AJ4,"ddd")</f>
        <v/>
      </c>
      <c r="AK5" s="5">
        <f>TEXT(AK4,"ddd")</f>
        <v/>
      </c>
    </row>
    <row r="6">
      <c r="A6" t="inlineStr">
        <is>
          <t>LS001</t>
        </is>
      </c>
      <c r="B6" t="inlineStr">
        <is>
          <t>BW</t>
        </is>
      </c>
      <c r="C6" s="18" t="n">
        <v>14</v>
      </c>
      <c r="D6" s="19" t="n">
        <v>44782</v>
      </c>
      <c r="E6" s="20">
        <f>D6+C6</f>
        <v/>
      </c>
      <c r="G6" s="9" t="inlineStr">
        <is>
          <t>LS019</t>
        </is>
      </c>
      <c r="H6" s="9" t="n"/>
      <c r="I6" s="9" t="inlineStr">
        <is>
          <t>LS008</t>
        </is>
      </c>
      <c r="J6" s="9" t="n"/>
      <c r="K6" s="9" t="n"/>
      <c r="L6" s="9" t="n"/>
      <c r="M6" s="9" t="n"/>
      <c r="N6" s="9" t="inlineStr">
        <is>
          <t>LS002</t>
        </is>
      </c>
      <c r="O6" s="9">
        <f>IF(AND(O$3&gt;=D6,O$3&lt;=E6),A6,"")</f>
        <v/>
      </c>
      <c r="P6" s="9">
        <f>IF(AND(P$3&gt;=D6,P$3&lt;=E6),A6,"")</f>
        <v/>
      </c>
      <c r="Q6" s="9">
        <f>IF(AND(Q$3&gt;=D6,Q$3&lt;=E6),A6,"")</f>
        <v/>
      </c>
      <c r="R6" s="9">
        <f>IF(AND(R$3&gt;=D6,R$3&lt;=E6),A6,"")</f>
        <v/>
      </c>
      <c r="S6" s="9">
        <f>IF(AND(S$3&gt;=D6,S$3&lt;=E6),A6,"")</f>
        <v/>
      </c>
      <c r="T6" s="9">
        <f>IF(AND(T$3&gt;=D6,T$3&lt;=E6),A6,"")</f>
        <v/>
      </c>
      <c r="U6" s="9">
        <f>IF(AND(U$3&gt;=D6,U$3&lt;=E6),A6,"")</f>
        <v/>
      </c>
      <c r="V6" s="9">
        <f>IF(AND(V$3&gt;=D6,V$3&lt;=E6),A6,"")</f>
        <v/>
      </c>
      <c r="W6" s="9">
        <f>IF(AND(W$3&gt;=D6,W$3&lt;=E6),A6,"")</f>
        <v/>
      </c>
      <c r="X6" s="9">
        <f>IF(AND(X$3&gt;=D6,X$3&lt;=E6),A6,"")</f>
        <v/>
      </c>
      <c r="Y6" s="9">
        <f>IF(AND(Y$3&gt;=D6,Y$3&lt;=E6),A6,"")</f>
        <v/>
      </c>
      <c r="Z6" s="9">
        <f>IF(AND(Z$3&gt;=D6,Z$3&lt;=E6),A6,"")</f>
        <v/>
      </c>
      <c r="AA6" s="9">
        <f>IF(AND(AA$3&gt;=D6,AA$3&lt;=E6),A6,"")</f>
        <v/>
      </c>
      <c r="AB6" s="9">
        <f>IF(AND(AB$3&gt;=D6,AB$3&lt;=E6),A6,"")</f>
        <v/>
      </c>
      <c r="AC6" s="9">
        <f>IF(AND(AC$3&gt;=D6,AC$3&lt;=E6),A6,"")</f>
        <v/>
      </c>
      <c r="AD6" s="9" t="n"/>
      <c r="AE6" s="9" t="n"/>
      <c r="AF6" s="9" t="n"/>
      <c r="AG6" s="9" t="n"/>
      <c r="AH6" s="9" t="n"/>
      <c r="AI6" s="9" t="n"/>
      <c r="AJ6" s="9" t="n"/>
      <c r="AK6" s="9" t="n"/>
    </row>
    <row r="7">
      <c r="A7" t="inlineStr">
        <is>
          <t>LS002</t>
        </is>
      </c>
      <c r="B7" t="inlineStr">
        <is>
          <t>BW</t>
        </is>
      </c>
      <c r="C7" s="18" t="n">
        <v>14</v>
      </c>
      <c r="D7" s="19" t="n">
        <v>44767</v>
      </c>
      <c r="E7" s="20">
        <f>D7+C7</f>
        <v/>
      </c>
      <c r="G7" s="9">
        <f>IF(AND(G$3&gt;=D7,G$3&lt;=E7),A7,"")</f>
        <v/>
      </c>
      <c r="H7" s="9">
        <f>IF(AND(H$3&gt;=D7,H$3&lt;=E7),A7,"")</f>
        <v/>
      </c>
      <c r="I7" s="9">
        <f>IF(AND(I$3&gt;=D7,I$3&lt;=E7),A7,"")</f>
        <v/>
      </c>
      <c r="J7" s="9">
        <f>IF(AND(J$3&gt;=D7,J$3&lt;=E7),A7,"")</f>
        <v/>
      </c>
      <c r="K7" s="9">
        <f>IF(AND(K$3&gt;=D7,K$3&lt;=E7),A7,"")</f>
        <v/>
      </c>
      <c r="L7" s="9">
        <f>IF(AND(L$3&gt;=D7,L$3&lt;=E7),A7,"")</f>
        <v/>
      </c>
      <c r="M7" s="9">
        <f>IF(AND(M$3&gt;=D7,M$3&lt;=E7),A7,"")</f>
        <v/>
      </c>
      <c r="N7" s="9">
        <f>IF(AND(N$3&gt;=D7,N$3&lt;=E7),A7,"")</f>
        <v/>
      </c>
      <c r="O7" s="9" t="n"/>
      <c r="P7" s="9" t="n"/>
      <c r="Q7" s="9" t="n"/>
      <c r="R7" s="9" t="n"/>
      <c r="S7" s="9" t="n"/>
      <c r="T7" s="9" t="n"/>
      <c r="U7" s="9" t="inlineStr">
        <is>
          <t>LS015</t>
        </is>
      </c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</row>
    <row r="8">
      <c r="A8" t="inlineStr">
        <is>
          <t>LS003</t>
        </is>
      </c>
      <c r="B8" t="inlineStr">
        <is>
          <t>M</t>
        </is>
      </c>
      <c r="C8" s="18" t="n">
        <v>28</v>
      </c>
      <c r="D8" s="19" t="n">
        <v>44776</v>
      </c>
      <c r="E8" s="20">
        <f>D8+C8</f>
        <v/>
      </c>
      <c r="G8" s="9" t="n"/>
      <c r="H8" s="9" t="n"/>
      <c r="I8" s="9">
        <f>IF(AND(I$3&gt;=D8,I$3&lt;=E8),A8,"")</f>
        <v/>
      </c>
      <c r="J8" s="9">
        <f>IF(AND(J$3&gt;=D8,J$3&lt;=E8),A8,"")</f>
        <v/>
      </c>
      <c r="K8" s="9">
        <f>IF(AND(K$3&gt;=D8,K$3&lt;=E8),A8,"")</f>
        <v/>
      </c>
      <c r="L8" s="9">
        <f>IF(AND(L$3&gt;=D8,L$3&lt;=E8),A8,"")</f>
        <v/>
      </c>
      <c r="M8" s="9">
        <f>IF(AND(M$3&gt;=D8,M$3&lt;=E8),A8,"")</f>
        <v/>
      </c>
      <c r="N8" s="9">
        <f>IF(AND(N$3&gt;=D8,N$3&lt;=E8),A8,"")</f>
        <v/>
      </c>
      <c r="O8" s="9">
        <f>IF(AND(O$3&gt;=D8,O$3&lt;=E8),A8,"")</f>
        <v/>
      </c>
      <c r="P8" s="9">
        <f>IF(AND(P$3&gt;=D8,P$3&lt;=E8),A8,"")</f>
        <v/>
      </c>
      <c r="Q8" s="9">
        <f>IF(AND(Q$3&gt;=D8,Q$3&lt;=E8),A8,"")</f>
        <v/>
      </c>
      <c r="R8" s="9">
        <f>IF(AND(R$3&gt;=D8,R$3&lt;=E8),A8,"")</f>
        <v/>
      </c>
      <c r="S8" s="9">
        <f>IF(AND(S$3&gt;=D8,S$3&lt;=E8),A8,"")</f>
        <v/>
      </c>
      <c r="T8" s="9">
        <f>IF(AND(T$3&gt;=D8,T$3&lt;=E8),A8,"")</f>
        <v/>
      </c>
      <c r="U8" s="9">
        <f>IF(AND(U$3&gt;=D8,U$3&lt;=E8),A8,"")</f>
        <v/>
      </c>
      <c r="V8" s="9">
        <f>IF(AND(V$3&gt;=D8,V$3&lt;=E8),A8,"")</f>
        <v/>
      </c>
      <c r="W8" s="9">
        <f>IF(AND(W$3&gt;=D8,W$3&lt;=E8),A8,"")</f>
        <v/>
      </c>
      <c r="X8" s="9">
        <f>IF(AND(X$3&gt;=D8,X$3&lt;=E8),A8,"")</f>
        <v/>
      </c>
      <c r="Y8" s="9">
        <f>IF(AND(Y$3&gt;=D8,Y$3&lt;=E8),A8,"")</f>
        <v/>
      </c>
      <c r="Z8" s="9">
        <f>IF(AND(Z$3&gt;=D8,Z$3&lt;=E8),A8,"")</f>
        <v/>
      </c>
      <c r="AA8" s="9">
        <f>IF(AND(AA$3&gt;=D8,AA$3&lt;=E8),A8,"")</f>
        <v/>
      </c>
      <c r="AB8" s="9">
        <f>IF(AND(AB$3&gt;=D8,AB$3&lt;=E8),A8,"")</f>
        <v/>
      </c>
      <c r="AC8" s="9">
        <f>IF(AND(AC$3&gt;=D8,AC$3&lt;=E8),A8,"")</f>
        <v/>
      </c>
      <c r="AD8" s="9">
        <f>IF(AND(AD$3&gt;=D8,AD$3&lt;=E8),A8,"")</f>
        <v/>
      </c>
      <c r="AE8" s="9">
        <f>IF(AND(AE$3&gt;=D8,AE$3&lt;=E8),A8,"")</f>
        <v/>
      </c>
      <c r="AF8" s="9">
        <f>IF(AND(AF$3&gt;=D8,AF$3&lt;=E8),A8,"")</f>
        <v/>
      </c>
      <c r="AG8" s="9">
        <f>IF(AND(AG$3&gt;=D8,AG$3&lt;=E8),A8,"")</f>
        <v/>
      </c>
      <c r="AH8" s="9">
        <f>IF(AND(AH$3&gt;=D8,AH$3&lt;=E8),A8,"")</f>
        <v/>
      </c>
      <c r="AI8" s="9">
        <f>IF(AND(AI$3&gt;=D8,AI$3&lt;=E8),A8,"")</f>
        <v/>
      </c>
      <c r="AJ8" s="9">
        <f>IF(AND(AJ$3&gt;=D8,AJ$3&lt;=E8),A8,"")</f>
        <v/>
      </c>
      <c r="AK8" s="9">
        <f>IF(AND(AK$3&gt;=D8,AK$3&lt;=E8),A8,"")</f>
        <v/>
      </c>
    </row>
    <row r="9">
      <c r="A9" t="inlineStr">
        <is>
          <t>LS004</t>
        </is>
      </c>
      <c r="B9" t="inlineStr">
        <is>
          <t>M</t>
        </is>
      </c>
      <c r="C9" s="18" t="n">
        <v>28</v>
      </c>
      <c r="D9" s="19" t="n">
        <v>44774</v>
      </c>
      <c r="E9" s="20">
        <f>D9+C9</f>
        <v/>
      </c>
      <c r="G9" s="9">
        <f>IF(AND(G$3&gt;=D9,G$3&lt;=E9),A9,"")</f>
        <v/>
      </c>
      <c r="H9" s="9">
        <f>IF(AND(H$3&gt;=D9,H$3&lt;=E9),A9,"")</f>
        <v/>
      </c>
      <c r="I9" s="9">
        <f>IF(AND(I$3&gt;=D9,I$3&lt;=E9),A9,"")</f>
        <v/>
      </c>
      <c r="J9" s="9">
        <f>IF(AND(J$3&gt;=D9,J$3&lt;=E9),A9,"")</f>
        <v/>
      </c>
      <c r="K9" s="9">
        <f>IF(AND(K$3&gt;=D9,K$3&lt;=E9),A9,"")</f>
        <v/>
      </c>
      <c r="L9" s="9">
        <f>IF(AND(L$3&gt;=D9,L$3&lt;=E9),A9,"")</f>
        <v/>
      </c>
      <c r="M9" s="9">
        <f>IF(AND(M$3&gt;=D9,M$3&lt;=E9),A9,"")</f>
        <v/>
      </c>
      <c r="N9" s="9">
        <f>IF(AND(N$3&gt;=D9,N$3&lt;=E9),A9,"")</f>
        <v/>
      </c>
      <c r="O9" s="9">
        <f>IF(AND(O$3&gt;=D9,O$3&lt;=E9),A9,"")</f>
        <v/>
      </c>
      <c r="P9" s="9">
        <f>IF(AND(P$3&gt;=D9,P$3&lt;=E9),A9,"")</f>
        <v/>
      </c>
      <c r="Q9" s="9">
        <f>IF(AND(Q$3&gt;=D9,Q$3&lt;=E9),A9,"")</f>
        <v/>
      </c>
      <c r="R9" s="9">
        <f>IF(AND(R$3&gt;=D9,R$3&lt;=E9),A9,"")</f>
        <v/>
      </c>
      <c r="S9" s="9">
        <f>IF(AND(S$3&gt;=D9,S$3&lt;=E9),A9,"")</f>
        <v/>
      </c>
      <c r="T9" s="9">
        <f>IF(AND(T$3&gt;=D9,T$3&lt;=E9),A9,"")</f>
        <v/>
      </c>
      <c r="U9" s="9">
        <f>IF(AND(U$3&gt;=D9,U$3&lt;=E9),A9,"")</f>
        <v/>
      </c>
      <c r="V9" s="9">
        <f>IF(AND(V$3&gt;=D9,V$3&lt;=E9),A9,"")</f>
        <v/>
      </c>
      <c r="W9" s="9">
        <f>IF(AND(W$3&gt;=D9,W$3&lt;=E9),A9,"")</f>
        <v/>
      </c>
      <c r="X9" s="9">
        <f>IF(AND(X$3&gt;=D9,X$3&lt;=E9),A9,"")</f>
        <v/>
      </c>
      <c r="Y9" s="9">
        <f>IF(AND(Y$3&gt;=D9,Y$3&lt;=E9),A9,"")</f>
        <v/>
      </c>
      <c r="Z9" s="9">
        <f>IF(AND(Z$3&gt;=D9,Z$3&lt;=E9),A9,"")</f>
        <v/>
      </c>
      <c r="AA9" s="9">
        <f>IF(AND(AA$3&gt;=D9,AA$3&lt;=E9),A9,"")</f>
        <v/>
      </c>
      <c r="AB9" s="9">
        <f>IF(AND(AB$3&gt;=D9,AB$3&lt;=E9),A9,"")</f>
        <v/>
      </c>
      <c r="AC9" s="9">
        <f>IF(AND(AC$3&gt;=D9,AC$3&lt;=E9),A9,"")</f>
        <v/>
      </c>
      <c r="AD9" s="9">
        <f>IF(AND(AD$3&gt;=D9,AD$3&lt;=E9),A9,"")</f>
        <v/>
      </c>
      <c r="AE9" s="9">
        <f>IF(AND(AE$3&gt;=D9,AE$3&lt;=E9),A9,"")</f>
        <v/>
      </c>
      <c r="AF9" s="9">
        <f>IF(AND(AF$3&gt;=D9,AF$3&lt;=E9),A9,"")</f>
        <v/>
      </c>
      <c r="AG9" s="9">
        <f>IF(AND(AG$3&gt;=D9,AG$3&lt;=E9),A9,"")</f>
        <v/>
      </c>
      <c r="AH9" s="9">
        <f>IF(AND(AH$3&gt;=D9,AH$3&lt;=E9),A9,"")</f>
        <v/>
      </c>
      <c r="AI9" s="9">
        <f>IF(AND(AI$3&gt;=D9,AI$3&lt;=E9),A9,"")</f>
        <v/>
      </c>
      <c r="AJ9" s="9" t="n"/>
      <c r="AK9" s="9" t="n"/>
    </row>
    <row r="10">
      <c r="A10" t="inlineStr">
        <is>
          <t>LS005</t>
        </is>
      </c>
      <c r="B10" t="inlineStr">
        <is>
          <t>M</t>
        </is>
      </c>
      <c r="C10" s="18" t="n">
        <v>28</v>
      </c>
      <c r="D10" s="19" t="n">
        <v>44762</v>
      </c>
      <c r="E10" s="20">
        <f>D10+C10</f>
        <v/>
      </c>
      <c r="G10" s="9">
        <f>IF(AND(G$3&gt;=D10,G$3&lt;=E10),A10,"")</f>
        <v/>
      </c>
      <c r="H10" s="9">
        <f>IF(AND(H$3&gt;=D10,H$3&lt;=E10),A10,"")</f>
        <v/>
      </c>
      <c r="I10" s="9">
        <f>IF(AND(I$3&gt;=D10,I$3&lt;=E10),A10,"")</f>
        <v/>
      </c>
      <c r="J10" s="9">
        <f>IF(AND(J$3&gt;=D10,J$3&lt;=E10),A10,"")</f>
        <v/>
      </c>
      <c r="K10" s="9">
        <f>IF(AND(K$3&gt;=D10,K$3&lt;=E10),A10,"")</f>
        <v/>
      </c>
      <c r="L10" s="9">
        <f>IF(AND(L$3&gt;=D10,L$3&lt;=E10),A10,"")</f>
        <v/>
      </c>
      <c r="M10" s="9">
        <f>IF(AND(M$3&gt;=D10,M$3&lt;=E10),A10,"")</f>
        <v/>
      </c>
      <c r="N10" s="9">
        <f>IF(AND(N$3&gt;=D10,N$3&lt;=E10),A10,"")</f>
        <v/>
      </c>
      <c r="O10" s="9">
        <f>IF(AND(O$3&gt;=D10,O$3&lt;=E10),A10,"")</f>
        <v/>
      </c>
      <c r="P10" s="9">
        <f>IF(AND(P$3&gt;=D10,P$3&lt;=E10),A10,"")</f>
        <v/>
      </c>
      <c r="Q10" s="9">
        <f>IF(AND(Q$3&gt;=D10,Q$3&lt;=E10),A10,"")</f>
        <v/>
      </c>
      <c r="R10" s="9">
        <f>IF(AND(R$3&gt;=D10,R$3&lt;=E10),A10,"")</f>
        <v/>
      </c>
      <c r="S10" s="9">
        <f>IF(AND(S$3&gt;=D10,S$3&lt;=E10),A10,"")</f>
        <v/>
      </c>
      <c r="T10" s="9">
        <f>IF(AND(T$3&gt;=D10,T$3&lt;=E10),A10,"")</f>
        <v/>
      </c>
      <c r="U10" s="9">
        <f>IF(AND(U$3&gt;=D10,U$3&lt;=E10),A10,"")</f>
        <v/>
      </c>
      <c r="V10" s="9">
        <f>IF(AND(V$3&gt;=D10,V$3&lt;=E10),A10,"")</f>
        <v/>
      </c>
      <c r="W10" s="9">
        <f>IF(AND(W$3&gt;=D10,W$3&lt;=E10),A10,"")</f>
        <v/>
      </c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</row>
    <row r="11">
      <c r="A11" t="inlineStr">
        <is>
          <t>LS006</t>
        </is>
      </c>
      <c r="B11" t="inlineStr">
        <is>
          <t>M</t>
        </is>
      </c>
      <c r="C11" s="18" t="n">
        <v>28</v>
      </c>
      <c r="D11" s="19" t="n">
        <v>44765</v>
      </c>
      <c r="E11" s="20">
        <f>D11+C11</f>
        <v/>
      </c>
      <c r="G11" s="9">
        <f>IF(AND(G$3&gt;=D11,G$3&lt;=E11),A11,"")</f>
        <v/>
      </c>
      <c r="H11" s="9">
        <f>IF(AND(H$3&gt;=D11,H$3&lt;=E11),A11,"")</f>
        <v/>
      </c>
      <c r="I11" s="9">
        <f>IF(AND(I$3&gt;=D11,I$3&lt;=E11),A11,"")</f>
        <v/>
      </c>
      <c r="J11" s="9">
        <f>IF(AND(J$3&gt;=D11,J$3&lt;=E11),A11,"")</f>
        <v/>
      </c>
      <c r="K11" s="9">
        <f>IF(AND(K$3&gt;=D11,K$3&lt;=E11),A11,"")</f>
        <v/>
      </c>
      <c r="L11" s="9">
        <f>IF(AND(L$3&gt;=D11,L$3&lt;=E11),A11,"")</f>
        <v/>
      </c>
      <c r="M11" s="9">
        <f>IF(AND(M$3&gt;=D11,M$3&lt;=E11),A11,"")</f>
        <v/>
      </c>
      <c r="N11" s="9">
        <f>IF(AND(N$3&gt;=D11,N$3&lt;=E11),A11,"")</f>
        <v/>
      </c>
      <c r="O11" s="9">
        <f>IF(AND(O$3&gt;=D11,O$3&lt;=E11),A11,"")</f>
        <v/>
      </c>
      <c r="P11" s="9">
        <f>IF(AND(P$3&gt;=D11,P$3&lt;=E11),A11,"")</f>
        <v/>
      </c>
      <c r="Q11" s="9">
        <f>IF(AND(Q$3&gt;=D11,Q$3&lt;=E11),A11,"")</f>
        <v/>
      </c>
      <c r="R11" s="9">
        <f>IF(AND(R$3&gt;=D11,R$3&lt;=E11),A11,"")</f>
        <v/>
      </c>
      <c r="S11" s="9">
        <f>IF(AND(S$3&gt;=D11,S$3&lt;=E11),A11,"")</f>
        <v/>
      </c>
      <c r="T11" s="9">
        <f>IF(AND(T$3&gt;=D11,T$3&lt;=E11),A11,"")</f>
        <v/>
      </c>
      <c r="U11" s="9">
        <f>IF(AND(U$3&gt;=D11,U$3&lt;=E11),A11,"")</f>
        <v/>
      </c>
      <c r="V11" s="9">
        <f>IF(AND(V$3&gt;=D11,V$3&lt;=E11),A11,"")</f>
        <v/>
      </c>
      <c r="W11" s="9">
        <f>IF(AND(W$3&gt;=D11,W$3&lt;=E11),A11,"")</f>
        <v/>
      </c>
      <c r="X11" s="9">
        <f>IF(AND(X$3&gt;=D11,X$3&lt;=E11),A11,"")</f>
        <v/>
      </c>
      <c r="Y11" s="9">
        <f>IF(AND(Y$3&gt;=D11,Y$3&lt;=E11),A11,"")</f>
        <v/>
      </c>
      <c r="Z11" s="9">
        <f>IF(AND(Z$3&gt;=D11,Z$3&lt;=E11),A11,"")</f>
        <v/>
      </c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</row>
    <row r="12">
      <c r="A12" t="inlineStr">
        <is>
          <t>LS007</t>
        </is>
      </c>
      <c r="B12" t="inlineStr">
        <is>
          <t>M</t>
        </is>
      </c>
      <c r="C12" s="18" t="n">
        <v>28</v>
      </c>
      <c r="D12" s="19" t="n">
        <v>44762</v>
      </c>
      <c r="E12" s="20">
        <f>D12+C12</f>
        <v/>
      </c>
      <c r="G12" s="9">
        <f>IF(AND(G$3&gt;=D12,G$3&lt;=E12),A12,"")</f>
        <v/>
      </c>
      <c r="H12" s="9">
        <f>IF(AND(H$3&gt;=D12,H$3&lt;=E12),A12,"")</f>
        <v/>
      </c>
      <c r="I12" s="9">
        <f>IF(AND(I$3&gt;=D12,I$3&lt;=E12),A12,"")</f>
        <v/>
      </c>
      <c r="J12" s="9">
        <f>IF(AND(J$3&gt;=D12,J$3&lt;=E12),A12,"")</f>
        <v/>
      </c>
      <c r="K12" s="9">
        <f>IF(AND(K$3&gt;=D12,K$3&lt;=E12),A12,"")</f>
        <v/>
      </c>
      <c r="L12" s="9">
        <f>IF(AND(L$3&gt;=D12,L$3&lt;=E12),A12,"")</f>
        <v/>
      </c>
      <c r="M12" s="9">
        <f>IF(AND(M$3&gt;=D12,M$3&lt;=E12),A12,"")</f>
        <v/>
      </c>
      <c r="N12" s="9">
        <f>IF(AND(N$3&gt;=D12,N$3&lt;=E12),A12,"")</f>
        <v/>
      </c>
      <c r="O12" s="9">
        <f>IF(AND(O$3&gt;=D12,O$3&lt;=E12),A12,"")</f>
        <v/>
      </c>
      <c r="P12" s="9">
        <f>IF(AND(P$3&gt;=D12,P$3&lt;=E12),A12,"")</f>
        <v/>
      </c>
      <c r="Q12" s="9">
        <f>IF(AND(Q$3&gt;=D12,Q$3&lt;=E12),A12,"")</f>
        <v/>
      </c>
      <c r="R12" s="9">
        <f>IF(AND(R$3&gt;=D12,R$3&lt;=E12),A12,"")</f>
        <v/>
      </c>
      <c r="S12" s="9">
        <f>IF(AND(S$3&gt;=D12,S$3&lt;=E12),A12,"")</f>
        <v/>
      </c>
      <c r="T12" s="9">
        <f>IF(AND(T$3&gt;=D12,T$3&lt;=E12),A12,"")</f>
        <v/>
      </c>
      <c r="U12" s="9">
        <f>IF(AND(U$3&gt;=D12,U$3&lt;=E12),A12,"")</f>
        <v/>
      </c>
      <c r="V12" s="9">
        <f>IF(AND(V$3&gt;=D12,V$3&lt;=E12),A12,"")</f>
        <v/>
      </c>
      <c r="W12" s="9">
        <f>IF(AND(W$3&gt;=D12,W$3&lt;=E12),A12,"")</f>
        <v/>
      </c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</row>
    <row r="13">
      <c r="A13" t="inlineStr">
        <is>
          <t>LS008</t>
        </is>
      </c>
      <c r="B13" t="inlineStr">
        <is>
          <t>BW</t>
        </is>
      </c>
      <c r="C13" s="18" t="n">
        <v>14</v>
      </c>
      <c r="D13" s="19" t="n">
        <v>44762</v>
      </c>
      <c r="E13" s="20">
        <f>D13+C13</f>
        <v/>
      </c>
      <c r="G13" s="9">
        <f>IF(AND(G$3&gt;=D13,G$3&lt;=E13),A13,"")</f>
        <v/>
      </c>
      <c r="H13" s="9">
        <f>IF(AND(H$3&gt;=D13,H$3&lt;=E13),A13,"")</f>
        <v/>
      </c>
      <c r="I13" s="9">
        <f>IF(AND(I$3&gt;=D13,I$3&lt;=E13),A13,"")</f>
        <v/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</row>
    <row r="14">
      <c r="A14" t="inlineStr">
        <is>
          <t>LS009</t>
        </is>
      </c>
      <c r="B14" t="inlineStr">
        <is>
          <t>BW</t>
        </is>
      </c>
      <c r="C14" s="18" t="n">
        <v>14</v>
      </c>
      <c r="D14" s="19" t="n">
        <v>44767</v>
      </c>
      <c r="E14" s="20">
        <f>D14+C14</f>
        <v/>
      </c>
    </row>
    <row r="15">
      <c r="A15" t="inlineStr">
        <is>
          <t>LS010</t>
        </is>
      </c>
      <c r="B15" t="inlineStr">
        <is>
          <t>M</t>
        </is>
      </c>
      <c r="C15" s="18" t="n">
        <v>28</v>
      </c>
      <c r="D15" s="19" t="n">
        <v>44775</v>
      </c>
      <c r="E15" s="20">
        <f>D15+C15</f>
        <v/>
      </c>
    </row>
    <row r="16">
      <c r="A16" t="inlineStr">
        <is>
          <t>LS011</t>
        </is>
      </c>
      <c r="B16" t="inlineStr">
        <is>
          <t>M</t>
        </is>
      </c>
      <c r="C16" s="18" t="n">
        <v>28</v>
      </c>
      <c r="D16" s="19" t="n">
        <v>44760</v>
      </c>
      <c r="E16" s="20">
        <f>D16+C16</f>
        <v/>
      </c>
    </row>
    <row r="17">
      <c r="A17" t="inlineStr">
        <is>
          <t>LS012</t>
        </is>
      </c>
      <c r="B17" t="inlineStr">
        <is>
          <t>M</t>
        </is>
      </c>
      <c r="C17" s="18" t="n">
        <v>28</v>
      </c>
      <c r="D17" s="19" t="n">
        <v>44762</v>
      </c>
      <c r="E17" s="20">
        <f>D17+C17</f>
        <v/>
      </c>
    </row>
    <row r="18">
      <c r="A18" t="inlineStr">
        <is>
          <t>LS013</t>
        </is>
      </c>
      <c r="B18" t="inlineStr">
        <is>
          <t>M</t>
        </is>
      </c>
      <c r="C18" s="18" t="n">
        <v>28</v>
      </c>
      <c r="D18" s="19" t="n">
        <v>44775</v>
      </c>
      <c r="E18" s="20">
        <f>D18+C18</f>
        <v/>
      </c>
    </row>
    <row r="19">
      <c r="A19" t="inlineStr">
        <is>
          <t>LS014</t>
        </is>
      </c>
      <c r="B19" t="inlineStr">
        <is>
          <t>M</t>
        </is>
      </c>
      <c r="C19" s="18" t="n">
        <v>28</v>
      </c>
      <c r="D19" s="19" t="n">
        <v>44765</v>
      </c>
      <c r="E19" s="20">
        <f>D19+C19</f>
        <v/>
      </c>
    </row>
    <row r="20">
      <c r="A20" t="inlineStr">
        <is>
          <t>LS015</t>
        </is>
      </c>
      <c r="B20" t="inlineStr">
        <is>
          <t>M</t>
        </is>
      </c>
      <c r="C20" s="18" t="n">
        <v>28</v>
      </c>
      <c r="D20" s="19" t="n">
        <v>44760</v>
      </c>
      <c r="E20" s="20">
        <f>D20+C20</f>
        <v/>
      </c>
    </row>
    <row r="21">
      <c r="A21" t="inlineStr">
        <is>
          <t>LS016</t>
        </is>
      </c>
      <c r="B21" t="inlineStr">
        <is>
          <t>BW</t>
        </is>
      </c>
      <c r="C21" s="18" t="n">
        <v>14</v>
      </c>
      <c r="D21" s="19" t="n">
        <v>44755</v>
      </c>
      <c r="E21" s="20">
        <f>D21+C21</f>
        <v/>
      </c>
    </row>
    <row r="22">
      <c r="A22" t="inlineStr">
        <is>
          <t>LS017</t>
        </is>
      </c>
      <c r="B22" t="inlineStr">
        <is>
          <t>BW</t>
        </is>
      </c>
      <c r="C22" s="18" t="n">
        <v>14</v>
      </c>
      <c r="D22" s="19" t="n">
        <v>44755</v>
      </c>
      <c r="E22" s="20">
        <f>D22+C22</f>
        <v/>
      </c>
    </row>
    <row r="23">
      <c r="A23" t="inlineStr">
        <is>
          <t>LS018</t>
        </is>
      </c>
      <c r="B23" t="inlineStr">
        <is>
          <t>BW</t>
        </is>
      </c>
      <c r="C23" s="18" t="n">
        <v>14</v>
      </c>
      <c r="D23" s="19" t="n">
        <v>44762</v>
      </c>
      <c r="E23" s="20">
        <f>D23+C23</f>
        <v/>
      </c>
    </row>
    <row r="24">
      <c r="A24" t="inlineStr">
        <is>
          <t>LS019</t>
        </is>
      </c>
      <c r="B24" t="inlineStr">
        <is>
          <t>BW</t>
        </is>
      </c>
      <c r="C24" s="18" t="n">
        <v>14</v>
      </c>
      <c r="D24" s="19" t="n">
        <v>44760</v>
      </c>
      <c r="E24" s="20">
        <f>D24+C24</f>
        <v/>
      </c>
    </row>
    <row r="25">
      <c r="A25" t="inlineStr">
        <is>
          <t>LS020</t>
        </is>
      </c>
      <c r="B25" t="inlineStr">
        <is>
          <t>M</t>
        </is>
      </c>
      <c r="C25" s="18" t="n">
        <v>28</v>
      </c>
      <c r="D25" s="21" t="n">
        <v>44770</v>
      </c>
      <c r="E25" s="20">
        <f>D25+C25</f>
        <v/>
      </c>
    </row>
    <row r="26">
      <c r="A26" t="inlineStr">
        <is>
          <t>LS021</t>
        </is>
      </c>
      <c r="B26" t="inlineStr">
        <is>
          <t>M</t>
        </is>
      </c>
      <c r="C26" s="18" t="n">
        <v>28</v>
      </c>
      <c r="D26" s="21" t="n">
        <v>44770</v>
      </c>
      <c r="E26" s="20">
        <f>D26+C26</f>
        <v/>
      </c>
    </row>
    <row r="27">
      <c r="A27" t="inlineStr">
        <is>
          <t>LS022</t>
        </is>
      </c>
      <c r="B27" t="inlineStr">
        <is>
          <t>M</t>
        </is>
      </c>
      <c r="C27" s="18" t="n">
        <v>28</v>
      </c>
      <c r="D27" s="19" t="n">
        <v>44767</v>
      </c>
      <c r="E27" s="20">
        <f>D27+C27</f>
        <v/>
      </c>
    </row>
    <row r="28">
      <c r="A28" t="inlineStr">
        <is>
          <t>LS023</t>
        </is>
      </c>
      <c r="B28" t="inlineStr">
        <is>
          <t>BW</t>
        </is>
      </c>
      <c r="C28" s="18" t="n">
        <v>14</v>
      </c>
      <c r="D28" s="19" t="n">
        <v>44775</v>
      </c>
      <c r="E28" s="20">
        <f>D28+C28</f>
        <v/>
      </c>
    </row>
    <row r="29">
      <c r="A29" t="inlineStr">
        <is>
          <t>LS024</t>
        </is>
      </c>
      <c r="B29" t="inlineStr">
        <is>
          <t>BW</t>
        </is>
      </c>
      <c r="C29" s="18" t="n">
        <v>14</v>
      </c>
      <c r="D29" s="19" t="n">
        <v>44775</v>
      </c>
      <c r="E29" s="20">
        <f>D29+C29</f>
        <v/>
      </c>
    </row>
    <row r="30">
      <c r="A30" t="inlineStr">
        <is>
          <t>LS025</t>
        </is>
      </c>
      <c r="B30" t="inlineStr">
        <is>
          <t>BW</t>
        </is>
      </c>
      <c r="C30" s="18" t="n">
        <v>14</v>
      </c>
      <c r="D30" s="19" t="n">
        <v>44783</v>
      </c>
      <c r="E30" s="20">
        <f>D30+C30</f>
        <v/>
      </c>
    </row>
  </sheetData>
  <mergeCells count="1">
    <mergeCell ref="G3:AK3"/>
  </mergeCells>
  <conditionalFormatting sqref="G5:AK5">
    <cfRule type="cellIs" priority="21" operator="equal" dxfId="0">
      <formula>"週日"</formula>
    </cfRule>
    <cfRule type="cellIs" priority="23" operator="equal" dxfId="0">
      <formula>"Sun"</formula>
    </cfRule>
  </conditionalFormatting>
  <conditionalFormatting sqref="G30:H30">
    <cfRule type="expression" priority="1" dxfId="1">
      <formula>WEEKDAY(G$4)=1</formula>
    </cfRule>
    <cfRule type="expression" priority="2" dxfId="2">
      <formula>OR(AND(#REF!="A",G$5="Sun"),AND(#REF!="B",G$5="Sat"))</formula>
    </cfRule>
    <cfRule type="cellIs" priority="3" operator="equal" dxfId="3">
      <formula>"CL"</formula>
    </cfRule>
    <cfRule type="cellIs" priority="4" operator="equal" dxfId="4">
      <formula>"SL"</formula>
    </cfRule>
    <cfRule type="cellIs" priority="5" operator="equal" dxfId="5">
      <formula>"AL"</formula>
    </cfRule>
  </conditionalFormatting>
  <conditionalFormatting sqref="G4:AK5">
    <cfRule type="expression" priority="22" dxfId="1">
      <formula>WEEKDAY(G$4)=1</formula>
    </cfRule>
  </conditionalFormatting>
  <conditionalFormatting sqref="G28:H29">
    <cfRule type="expression" priority="6" dxfId="1">
      <formula>WEEKDAY(G$4)=1</formula>
    </cfRule>
    <cfRule type="expression" priority="7" dxfId="2">
      <formula>OR(AND(#REF!="A",G$5="Sun"),AND(#REF!="B",G$5="Sat"))</formula>
    </cfRule>
    <cfRule type="cellIs" priority="8" operator="equal" dxfId="3">
      <formula>"CL"</formula>
    </cfRule>
    <cfRule type="cellIs" priority="9" operator="equal" dxfId="4">
      <formula>"SL"</formula>
    </cfRule>
    <cfRule type="cellIs" priority="10" operator="equal" dxfId="5">
      <formula>"AL"</formula>
    </cfRule>
  </conditionalFormatting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Fung</dc:creator>
  <dcterms:created xsi:type="dcterms:W3CDTF">2022-08-09T13:06:00Z</dcterms:created>
  <dcterms:modified xsi:type="dcterms:W3CDTF">2026-03-23T10:20:53Z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FE0602A88A61488C897771801A97A1AB_12</vt:lpwstr>
  </property>
  <property name="KSOProductBuildVer" fmtid="{D5CDD505-2E9C-101B-9397-08002B2CF9AE}" pid="3">
    <vt:lpwstr>2052-12.1.0.16729</vt:lpwstr>
  </property>
</Properties>
</file>