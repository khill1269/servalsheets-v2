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5250" yWindow="9730" windowWidth="15540" windowHeight="1006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>
    <definedName name="Min.ADT">'[1]Offer Group Details'!$C$7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&quot;$&quot;#,##0.00"/>
    <numFmt numFmtId="165" formatCode="&quot;$&quot;#,##0.00_);[Red]\(&quot;$&quot;#,##0.00\)"/>
    <numFmt numFmtId="166" formatCode="&quot;$&quot;#,##0"/>
    <numFmt numFmtId="167" formatCode="&quot;$&quot;#,##0;[Red]&quot;$&quot;#,##0"/>
  </numFmts>
  <fonts count="6">
    <font>
      <name val="等线"/>
      <charset val="134"/>
      <color theme="1"/>
      <sz val="12"/>
      <scheme val="minor"/>
    </font>
    <font>
      <name val="等线"/>
      <charset val="134"/>
      <b val="1"/>
      <color theme="1"/>
      <sz val="18"/>
      <scheme val="minor"/>
    </font>
    <font>
      <name val="等线"/>
      <charset val="134"/>
      <b val="1"/>
      <color theme="1"/>
      <sz val="12"/>
      <scheme val="minor"/>
    </font>
    <font>
      <name val="Arial"/>
      <family val="2"/>
      <b val="1"/>
      <sz val="14"/>
    </font>
    <font>
      <name val="Arial"/>
      <family val="2"/>
      <color theme="0" tint="-0.499984740745262"/>
      <sz val="14"/>
    </font>
    <font>
      <name val="等线"/>
      <charset val="134"/>
      <sz val="9"/>
      <scheme val="minor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5" tint="0.7999511703848384"/>
        <bgColor indexed="64"/>
      </patternFill>
    </fill>
    <fill>
      <patternFill patternType="solid">
        <fgColor theme="9" tint="0.5999938962981048"/>
        <bgColor rgb="FF000000"/>
      </patternFill>
    </fill>
  </fills>
  <borders count="1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2" pivotButton="0" quotePrefix="0" xfId="0"/>
    <xf numFmtId="0" fontId="3" fillId="0" borderId="3" applyAlignment="1" pivotButton="0" quotePrefix="0" xfId="0">
      <alignment horizontal="center"/>
    </xf>
    <xf numFmtId="0" fontId="3" fillId="0" borderId="4" applyAlignment="1" pivotButton="0" quotePrefix="0" xfId="0">
      <alignment horizontal="center"/>
    </xf>
    <xf numFmtId="164" fontId="0" fillId="2" borderId="5" applyAlignment="1" pivotButton="0" quotePrefix="0" xfId="0">
      <alignment horizontal="center"/>
    </xf>
    <xf numFmtId="165" fontId="0" fillId="0" borderId="6" pivotButton="0" quotePrefix="0" xfId="0"/>
    <xf numFmtId="166" fontId="3" fillId="3" borderId="7" applyAlignment="1" applyProtection="1" pivotButton="0" quotePrefix="0" xfId="0">
      <alignment horizontal="center" vertical="center"/>
      <protection locked="0" hidden="0"/>
    </xf>
    <xf numFmtId="167" fontId="4" fillId="4" borderId="8" applyAlignment="1" pivotButton="0" quotePrefix="0" xfId="0">
      <alignment horizontal="center"/>
    </xf>
    <xf numFmtId="166" fontId="3" fillId="3" borderId="9" applyAlignment="1" applyProtection="1" pivotButton="0" quotePrefix="0" xfId="0">
      <alignment horizontal="center" vertical="center"/>
      <protection locked="0" hidden="0"/>
    </xf>
    <xf numFmtId="166" fontId="3" fillId="5" borderId="10" applyAlignment="1" applyProtection="1" pivotButton="0" quotePrefix="0" xfId="0">
      <alignment horizontal="center" vertical="center"/>
      <protection locked="0" hidden="0"/>
    </xf>
    <xf numFmtId="166" fontId="3" fillId="3" borderId="11" applyAlignment="1" applyProtection="1" pivotButton="0" quotePrefix="0" xfId="0">
      <alignment horizontal="center" vertical="center"/>
      <protection locked="0" hidden="0"/>
    </xf>
    <xf numFmtId="166" fontId="3" fillId="5" borderId="12" applyAlignment="1" applyProtection="1" pivotButton="0" quotePrefix="0" xfId="0">
      <alignment horizontal="center" vertical="center"/>
      <protection locked="0" hidden="0"/>
    </xf>
    <xf numFmtId="164" fontId="0" fillId="2" borderId="5" applyAlignment="1" pivotButton="0" quotePrefix="0" xfId="0">
      <alignment horizontal="center"/>
    </xf>
    <xf numFmtId="165" fontId="0" fillId="0" borderId="6" pivotButton="0" quotePrefix="0" xfId="0"/>
    <xf numFmtId="166" fontId="3" fillId="3" borderId="7" applyAlignment="1" applyProtection="1" pivotButton="0" quotePrefix="0" xfId="0">
      <alignment horizontal="center" vertical="center"/>
      <protection locked="0" hidden="0"/>
    </xf>
    <xf numFmtId="167" fontId="4" fillId="4" borderId="8" applyAlignment="1" pivotButton="0" quotePrefix="0" xfId="0">
      <alignment horizontal="center"/>
    </xf>
    <xf numFmtId="166" fontId="3" fillId="3" borderId="9" applyAlignment="1" applyProtection="1" pivotButton="0" quotePrefix="0" xfId="0">
      <alignment horizontal="center" vertical="center"/>
      <protection locked="0" hidden="0"/>
    </xf>
    <xf numFmtId="166" fontId="3" fillId="5" borderId="10" applyAlignment="1" applyProtection="1" pivotButton="0" quotePrefix="0" xfId="0">
      <alignment horizontal="center" vertical="center"/>
      <protection locked="0" hidden="0"/>
    </xf>
    <xf numFmtId="166" fontId="3" fillId="3" borderId="11" applyAlignment="1" applyProtection="1" pivotButton="0" quotePrefix="0" xfId="0">
      <alignment horizontal="center" vertical="center"/>
      <protection locked="0" hidden="0"/>
    </xf>
    <xf numFmtId="166" fontId="3" fillId="5" borderId="12" applyAlignment="1" applyProtection="1" pivotButton="0" quotePrefix="0" xfId="0">
      <alignment horizontal="center" vertical="center"/>
      <protection locked="0" hidden="0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202203%20-%20Internal%20-%20MGM%20National%20Harbor%20-%20Post%20Forma%20V12.2%20-%20mw%20(1).xlsb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Offer Group Details"/>
      <sheetName val="Pre-Program Player Counts"/>
      <sheetName val="Custom Input PrePromo"/>
      <sheetName val="Program Pro-forma"/>
      <sheetName val="Program Pro-forma 5th Week"/>
      <sheetName val="Program Pro-forma Color Match"/>
      <sheetName val="PowerPoint Pro Forma Gameplan 1"/>
      <sheetName val="PowerPoint Pro Forma Gameplan 2"/>
      <sheetName val="Redeemer Group Details"/>
      <sheetName val="Promo Costs"/>
      <sheetName val="Earn and Get"/>
      <sheetName val="Custom Input PostPromo"/>
      <sheetName val="Post-Program Redeemer Counts"/>
      <sheetName val="Monthly KPI"/>
      <sheetName val="2 Day Bump"/>
      <sheetName val="Gift Mix Analysis"/>
      <sheetName val="Holidays Calcs"/>
      <sheetName val="Formula Notes"/>
      <sheetName val="Net Results"/>
      <sheetName val="By Offer Group Stats - BETA"/>
      <sheetName val="Post Forma Game Plan Graphics"/>
      <sheetName val="User Notes"/>
      <sheetName val="Sample Incremental Trip Calc"/>
      <sheetName val="Sample Incremental Rev Calc"/>
      <sheetName val="Coin-in Trend"/>
      <sheetName val="Revenue Trend"/>
      <sheetName val="Redeemer Trip Trend "/>
      <sheetName val="Trend Projections"/>
      <sheetName val="What If"/>
      <sheetName val="PromoComp"/>
      <sheetName val="Flash Report"/>
      <sheetName val="Flash Report - No Tax"/>
      <sheetName val="28 Day Fiscal Period"/>
    </sheetNames>
    <sheetDataSet>
      <sheetData sheetId="0">
        <row r="7">
          <cell r="C7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tabSelected="1" topLeftCell="A4" workbookViewId="0">
      <selection activeCell="C7" sqref="C7"/>
    </sheetView>
  </sheetViews>
  <sheetFormatPr baseColWidth="8" defaultColWidth="11" defaultRowHeight="15"/>
  <cols>
    <col width="10.796875" customWidth="1" style="1" min="2" max="2"/>
    <col width="13.1328125" customWidth="1" min="6" max="6"/>
  </cols>
  <sheetData>
    <row r="1"/>
    <row r="2" ht="22.75" customHeight="1">
      <c r="B2" s="2" t="n"/>
    </row>
    <row r="3" ht="22.75" customHeight="1">
      <c r="B3" s="2" t="n"/>
    </row>
    <row r="4" ht="22.75" customHeight="1">
      <c r="B4" s="2" t="n"/>
    </row>
    <row r="5">
      <c r="E5" s="3" t="inlineStr">
        <is>
          <t>TIER</t>
        </is>
      </c>
    </row>
    <row r="6" ht="17.6" customHeight="1">
      <c r="B6" s="4" t="inlineStr">
        <is>
          <t>Tier</t>
        </is>
      </c>
      <c r="C6" s="5" t="inlineStr">
        <is>
          <t>Cost</t>
        </is>
      </c>
      <c r="E6" s="6" t="inlineStr">
        <is>
          <t>At Least</t>
        </is>
      </c>
      <c r="F6" s="7" t="inlineStr">
        <is>
          <t>Less Than</t>
        </is>
      </c>
    </row>
    <row r="7" ht="17.6" customHeight="1">
      <c r="B7" s="16" t="n">
        <v>150</v>
      </c>
      <c r="C7" s="17" t="n">
        <v>154</v>
      </c>
      <c r="E7" s="18" t="n">
        <v>1000</v>
      </c>
      <c r="F7" s="19" t="inlineStr">
        <is>
          <t>and up</t>
        </is>
      </c>
    </row>
    <row r="8" ht="17.6" customHeight="1">
      <c r="B8" s="16" t="inlineStr"/>
      <c r="C8" s="17" t="n">
        <v>0</v>
      </c>
      <c r="E8" s="20" t="n">
        <v>750</v>
      </c>
      <c r="F8" s="21" t="n">
        <v>1000</v>
      </c>
    </row>
    <row r="9" ht="17.6" customHeight="1">
      <c r="B9" s="16" t="inlineStr"/>
      <c r="C9" s="17" t="n">
        <v>0</v>
      </c>
      <c r="E9" s="20" t="n">
        <v>500</v>
      </c>
      <c r="F9" s="21" t="n">
        <v>750</v>
      </c>
    </row>
    <row r="10" ht="17.6" customHeight="1">
      <c r="B10" s="16" t="n">
        <v>100</v>
      </c>
      <c r="C10" s="17" t="n">
        <v>149.33</v>
      </c>
      <c r="E10" s="20" t="n">
        <v>350</v>
      </c>
      <c r="F10" s="21" t="n">
        <v>500</v>
      </c>
    </row>
    <row r="11" ht="17.6" customHeight="1">
      <c r="B11" s="16" t="inlineStr"/>
      <c r="C11" s="17" t="n">
        <v>0</v>
      </c>
      <c r="E11" s="20" t="n">
        <v>250</v>
      </c>
      <c r="F11" s="21" t="n">
        <v>350</v>
      </c>
    </row>
    <row r="12" ht="17.6" customHeight="1">
      <c r="B12" s="16" t="inlineStr"/>
      <c r="C12" s="17" t="n">
        <v>0</v>
      </c>
      <c r="E12" s="20" t="n">
        <v>200</v>
      </c>
      <c r="F12" s="21" t="n">
        <v>250</v>
      </c>
    </row>
    <row r="13" ht="17.6" customHeight="1">
      <c r="B13" s="16" t="n">
        <v>200</v>
      </c>
      <c r="C13" s="17" t="n">
        <v>200</v>
      </c>
      <c r="E13" s="20" t="n">
        <v>150</v>
      </c>
      <c r="F13" s="21" t="n">
        <v>200</v>
      </c>
    </row>
    <row r="14" ht="17.6" customHeight="1">
      <c r="B14" s="16" t="n">
        <v>200</v>
      </c>
      <c r="C14" s="17" t="n">
        <v>243.11</v>
      </c>
      <c r="E14" s="20" t="n">
        <v>100</v>
      </c>
      <c r="F14" s="21" t="n">
        <v>150</v>
      </c>
    </row>
    <row r="15" ht="17.6" customHeight="1">
      <c r="B15" s="16" t="n">
        <v>200</v>
      </c>
      <c r="C15" s="17" t="n">
        <v>248.61</v>
      </c>
      <c r="E15" s="20" t="n">
        <v>75</v>
      </c>
      <c r="F15" s="21" t="n">
        <v>100</v>
      </c>
    </row>
    <row r="16" ht="17.6" customHeight="1">
      <c r="B16" s="16" t="n">
        <v>200</v>
      </c>
      <c r="C16" s="17" t="n">
        <v>213.15</v>
      </c>
      <c r="E16" s="20" t="n">
        <v>50</v>
      </c>
      <c r="F16" s="21" t="n">
        <v>75</v>
      </c>
    </row>
    <row r="17" ht="17.6" customHeight="1">
      <c r="B17" s="16" t="inlineStr"/>
      <c r="C17" s="17" t="n">
        <v>0</v>
      </c>
      <c r="E17" s="20" t="n">
        <v>40</v>
      </c>
      <c r="F17" s="21" t="n">
        <v>50</v>
      </c>
    </row>
    <row r="18" ht="17.6" customHeight="1">
      <c r="B18" s="16" t="inlineStr"/>
      <c r="C18" s="17" t="n">
        <v>1553.86</v>
      </c>
      <c r="E18" s="20" t="n">
        <v>30</v>
      </c>
      <c r="F18" s="21" t="n">
        <v>40</v>
      </c>
    </row>
    <row r="19" ht="17.6" customHeight="1">
      <c r="B19" s="16" t="inlineStr"/>
      <c r="C19" s="17" t="n">
        <v>0</v>
      </c>
      <c r="E19" s="22">
        <f>Min.ADT</f>
        <v/>
      </c>
      <c r="F19" s="23" t="n">
        <v>30</v>
      </c>
    </row>
    <row r="20">
      <c r="B20" s="16" t="n">
        <v>150</v>
      </c>
      <c r="C20" s="17" t="n">
        <v>171.25</v>
      </c>
    </row>
    <row r="21">
      <c r="B21" s="16" t="n">
        <v>250</v>
      </c>
      <c r="C21" s="17" t="n">
        <v>302.16</v>
      </c>
    </row>
    <row r="22">
      <c r="B22" s="16" t="n">
        <v>250</v>
      </c>
      <c r="C22" s="17" t="n">
        <v>257.64</v>
      </c>
    </row>
    <row r="23">
      <c r="B23" s="16" t="n">
        <v>40</v>
      </c>
      <c r="C23" s="17" t="n">
        <v>49.25</v>
      </c>
    </row>
    <row r="24">
      <c r="B24" s="16" t="inlineStr"/>
      <c r="C24" s="17" t="n">
        <v>0</v>
      </c>
    </row>
    <row r="25">
      <c r="B25" s="16" t="n">
        <v>500</v>
      </c>
      <c r="C25" s="17" t="n">
        <v>715.88</v>
      </c>
    </row>
    <row r="26">
      <c r="B26" s="16" t="inlineStr"/>
      <c r="C26" s="17" t="n">
        <v>0</v>
      </c>
    </row>
    <row r="27">
      <c r="B27" s="16" t="n">
        <v>100</v>
      </c>
      <c r="C27" s="17" t="n">
        <v>135.21</v>
      </c>
    </row>
    <row r="28">
      <c r="B28" s="16" t="inlineStr"/>
      <c r="C28" s="17" t="n">
        <v>1456.23</v>
      </c>
    </row>
    <row r="29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Craig Perkins</dc:creator>
  <dcterms:created xsi:type="dcterms:W3CDTF">2022-05-05T23:15:00Z</dcterms:created>
  <dcterms:modified xsi:type="dcterms:W3CDTF">2026-03-23T10:24:39Z</dcterms:modified>
  <cp:lastModifiedBy>愉挥 贾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160A097C01434D8D84E812E86F247FB4_12</vt:lpwstr>
  </property>
  <property name="KSOProductBuildVer" fmtid="{D5CDD505-2E9C-101B-9397-08002B2CF9AE}" pid="3">
    <vt:lpwstr>2052-12.1.0.16729</vt:lpwstr>
  </property>
</Properties>
</file>