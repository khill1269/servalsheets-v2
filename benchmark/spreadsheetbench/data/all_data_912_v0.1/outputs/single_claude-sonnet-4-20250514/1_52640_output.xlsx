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1" autoFilterDateGrouping="1"/>
  </bookViews>
  <sheets>
    <sheet name="RAW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u val="single"/>
      <scheme val="minor"/>
    </font>
    <font>
      <name val="等线"/>
      <charset val="134"/>
      <b val="1"/>
      <color theme="1"/>
      <sz val="11"/>
      <scheme val="minor"/>
    </font>
    <font>
      <name val="Calibri"/>
      <charset val="134"/>
      <color rgb="FF000000"/>
      <sz val="1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4" borderId="1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12" applyAlignment="1">
      <alignment vertical="center"/>
    </xf>
    <xf numFmtId="0" fontId="10" fillId="0" borderId="12" applyAlignment="1">
      <alignment vertical="center"/>
    </xf>
    <xf numFmtId="0" fontId="11" fillId="0" borderId="13" applyAlignment="1">
      <alignment vertical="center"/>
    </xf>
    <xf numFmtId="0" fontId="11" fillId="0" borderId="0" applyAlignment="1">
      <alignment vertical="center"/>
    </xf>
    <xf numFmtId="0" fontId="12" fillId="5" borderId="14" applyAlignment="1">
      <alignment vertical="center"/>
    </xf>
    <xf numFmtId="0" fontId="13" fillId="6" borderId="15" applyAlignment="1">
      <alignment vertical="center"/>
    </xf>
    <xf numFmtId="0" fontId="14" fillId="6" borderId="14" applyAlignment="1">
      <alignment vertical="center"/>
    </xf>
    <xf numFmtId="0" fontId="15" fillId="7" borderId="16" applyAlignment="1">
      <alignment vertical="center"/>
    </xf>
    <xf numFmtId="0" fontId="16" fillId="0" borderId="17" applyAlignment="1">
      <alignment vertical="center"/>
    </xf>
    <xf numFmtId="0" fontId="17" fillId="0" borderId="18" applyAlignment="1">
      <alignment vertical="center"/>
    </xf>
    <xf numFmtId="0" fontId="18" fillId="2" borderId="0"/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pivotButton="0" quotePrefix="0" xfId="22"/>
    <xf numFmtId="0" fontId="2" fillId="2" borderId="2" pivotButton="0" quotePrefix="0" xfId="22"/>
    <xf numFmtId="0" fontId="2" fillId="2" borderId="3" pivotButton="0" quotePrefix="0" xfId="22"/>
    <xf numFmtId="0" fontId="2" fillId="2" borderId="4" applyAlignment="1" pivotButton="0" quotePrefix="0" xfId="22">
      <alignment vertical="center" wrapText="1"/>
    </xf>
    <xf numFmtId="0" fontId="0" fillId="2" borderId="5" applyAlignment="1" pivotButton="0" quotePrefix="0" xfId="22">
      <alignment horizontal="center" vertical="center" wrapText="1"/>
    </xf>
    <xf numFmtId="0" fontId="0" fillId="2" borderId="0" applyAlignment="1" pivotButton="0" quotePrefix="0" xfId="22">
      <alignment horizontal="center" vertical="center" wrapText="1"/>
    </xf>
    <xf numFmtId="0" fontId="0" fillId="2" borderId="0" applyAlignment="1" pivotButton="0" quotePrefix="0" xfId="22">
      <alignment vertical="center" wrapText="1"/>
    </xf>
    <xf numFmtId="14" fontId="0" fillId="2" borderId="0" applyAlignment="1" pivotButton="0" quotePrefix="0" xfId="22">
      <alignment horizontal="center" vertical="center" wrapText="1"/>
    </xf>
    <xf numFmtId="14" fontId="0" fillId="2" borderId="6" applyAlignment="1" pivotButton="0" quotePrefix="0" xfId="22">
      <alignment vertical="center" wrapText="1"/>
    </xf>
    <xf numFmtId="0" fontId="2" fillId="2" borderId="7" applyAlignment="1" pivotButton="0" quotePrefix="0" xfId="22">
      <alignment vertical="center" wrapText="1"/>
    </xf>
    <xf numFmtId="0" fontId="0" fillId="2" borderId="8" applyAlignment="1" pivotButton="0" quotePrefix="0" xfId="22">
      <alignment horizontal="center" wrapText="1"/>
    </xf>
    <xf numFmtId="0" fontId="0" fillId="2" borderId="9" applyAlignment="1" pivotButton="0" quotePrefix="0" xfId="22">
      <alignment horizontal="center" wrapText="1"/>
    </xf>
    <xf numFmtId="0" fontId="0" fillId="2" borderId="9" applyAlignment="1" pivotButton="0" quotePrefix="0" xfId="22">
      <alignment wrapText="1"/>
    </xf>
    <xf numFmtId="14" fontId="0" fillId="2" borderId="9" applyAlignment="1" pivotButton="0" quotePrefix="0" xfId="22">
      <alignment horizontal="center" wrapText="1"/>
    </xf>
    <xf numFmtId="14" fontId="0" fillId="2" borderId="10" applyAlignment="1" pivotButton="0" quotePrefix="0" xfId="22">
      <alignment wrapText="1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center" wrapText="1"/>
    </xf>
    <xf numFmtId="0" fontId="3" fillId="3" borderId="0" applyAlignment="1" pivotButton="0" quotePrefix="0" xfId="0">
      <alignment wrapText="1"/>
    </xf>
    <xf numFmtId="14" fontId="3" fillId="3" borderId="0" applyAlignment="1" pivotButton="0" quotePrefix="0" xfId="0">
      <alignment wrapText="1"/>
    </xf>
    <xf numFmtId="14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7" xfId="4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2" sqref="A2"/>
    </sheetView>
  </sheetViews>
  <sheetFormatPr baseColWidth="8" defaultColWidth="9" defaultRowHeight="14"/>
  <cols>
    <col width="10.725" customWidth="1" style="23" min="4" max="4"/>
    <col width="16" customWidth="1" min="6" max="6"/>
    <col width="27.2666666666667" customWidth="1" min="7" max="7"/>
    <col width="12" customWidth="1" style="23" min="12" max="12"/>
    <col width="39.45" customWidth="1" min="13" max="13"/>
    <col width="38.45" customWidth="1" min="14" max="14"/>
  </cols>
  <sheetData>
    <row r="1">
      <c r="A1" t="inlineStr">
        <is>
          <t>Advert Id</t>
        </is>
      </c>
      <c r="D1" s="23" t="inlineStr">
        <is>
          <t>Created At</t>
        </is>
      </c>
      <c r="F1" t="inlineStr">
        <is>
          <t>No. Of Vacancies</t>
        </is>
      </c>
      <c r="G1" t="inlineStr">
        <is>
          <t>Unfilled Ending within 7 Days</t>
        </is>
      </c>
      <c r="L1" s="23" t="inlineStr">
        <is>
          <t>Closing Date</t>
        </is>
      </c>
      <c r="M1" t="inlineStr">
        <is>
          <t>Employer Name</t>
        </is>
      </c>
      <c r="N1" t="inlineStr">
        <is>
          <t>Job Title</t>
        </is>
      </c>
      <c r="U1" t="inlineStr">
        <is>
          <t xml:space="preserve"> Site</t>
        </is>
      </c>
    </row>
    <row r="2">
      <c r="A2" t="n">
        <v>201424</v>
      </c>
      <c r="D2" s="23" t="n">
        <v>44106</v>
      </c>
      <c r="F2" t="n">
        <v>3</v>
      </c>
      <c r="G2" t="n">
        <v>0</v>
      </c>
      <c r="L2" s="23" t="n">
        <v>44124</v>
      </c>
      <c r="M2" t="inlineStr">
        <is>
          <t>Tesco Stores Ltd</t>
        </is>
      </c>
      <c r="N2" t="inlineStr">
        <is>
          <t>Customer Assistant Kickstart Scheme</t>
        </is>
      </c>
      <c r="U2" t="inlineStr">
        <is>
          <t>Wembley</t>
        </is>
      </c>
    </row>
    <row r="3">
      <c r="A3" t="n">
        <v>201426</v>
      </c>
      <c r="D3" s="23" t="n">
        <v>44106</v>
      </c>
      <c r="F3" t="n">
        <v>2</v>
      </c>
      <c r="G3" t="n">
        <v>0</v>
      </c>
      <c r="L3" s="23" t="n">
        <v>44124</v>
      </c>
      <c r="M3" t="inlineStr">
        <is>
          <t>Tesco Stores Ltd</t>
        </is>
      </c>
      <c r="N3" t="inlineStr">
        <is>
          <t>Customer Assistant Kickstart Scheme</t>
        </is>
      </c>
      <c r="U3" t="inlineStr">
        <is>
          <t>Hounslow</t>
        </is>
      </c>
    </row>
    <row r="4">
      <c r="A4" t="n">
        <v>201428</v>
      </c>
      <c r="D4" s="23" t="n">
        <v>44106</v>
      </c>
      <c r="F4" t="n">
        <v>3</v>
      </c>
      <c r="G4" t="n">
        <v>0</v>
      </c>
      <c r="L4" s="23" t="n">
        <v>44124</v>
      </c>
      <c r="M4" t="inlineStr">
        <is>
          <t>Tesco Stores Ltd</t>
        </is>
      </c>
      <c r="N4" t="inlineStr">
        <is>
          <t>Customer Assistant Kickstart Scheme</t>
        </is>
      </c>
      <c r="U4" t="inlineStr">
        <is>
          <t>Harlesden</t>
        </is>
      </c>
    </row>
    <row r="5">
      <c r="A5" t="n">
        <v>201503</v>
      </c>
      <c r="D5" s="23" t="n">
        <v>44107</v>
      </c>
      <c r="F5" t="n">
        <v>3</v>
      </c>
      <c r="G5" t="n">
        <v>0</v>
      </c>
      <c r="L5" s="23" t="n">
        <v>44124</v>
      </c>
      <c r="M5" t="inlineStr">
        <is>
          <t>Tesco Stores Ltd</t>
        </is>
      </c>
      <c r="N5" t="inlineStr">
        <is>
          <t>Customer Assistant Kickstart Scheme</t>
        </is>
      </c>
      <c r="U5" t="inlineStr">
        <is>
          <t>Hounslow</t>
        </is>
      </c>
    </row>
    <row r="6">
      <c r="A6" t="n">
        <v>201506</v>
      </c>
      <c r="D6" s="23" t="n">
        <v>44107</v>
      </c>
      <c r="F6" t="n">
        <v>3</v>
      </c>
      <c r="G6" t="n">
        <v>0</v>
      </c>
      <c r="L6" s="23" t="n">
        <v>44124</v>
      </c>
      <c r="M6" t="inlineStr">
        <is>
          <t>Tesco Stores Ltd</t>
        </is>
      </c>
      <c r="N6" t="inlineStr">
        <is>
          <t>Customer Assistant Kickstart Scheme</t>
        </is>
      </c>
      <c r="U6" t="inlineStr">
        <is>
          <t>Hounslow</t>
        </is>
      </c>
    </row>
    <row r="7">
      <c r="A7" t="n">
        <v>201517</v>
      </c>
      <c r="D7" s="23" t="n">
        <v>44107</v>
      </c>
      <c r="F7" t="n">
        <v>3</v>
      </c>
      <c r="G7" t="n">
        <v>0</v>
      </c>
      <c r="L7" s="23" t="n">
        <v>44124</v>
      </c>
      <c r="M7" t="inlineStr">
        <is>
          <t>Tesco Stores Ltd</t>
        </is>
      </c>
      <c r="N7" t="inlineStr">
        <is>
          <t>Customer Assistant Kickstart Scheme</t>
        </is>
      </c>
      <c r="U7" t="inlineStr">
        <is>
          <t>Ealing</t>
        </is>
      </c>
    </row>
    <row r="8">
      <c r="A8" t="n">
        <v>201525</v>
      </c>
      <c r="D8" s="23" t="n">
        <v>44237</v>
      </c>
      <c r="F8" t="n">
        <v>4</v>
      </c>
      <c r="G8" t="n">
        <v>3</v>
      </c>
      <c r="L8" s="23" t="n">
        <v>44389</v>
      </c>
      <c r="M8" t="inlineStr">
        <is>
          <t>First Years Childcare Ltd</t>
        </is>
      </c>
      <c r="N8" t="inlineStr">
        <is>
          <t>Nursery Practitioners</t>
        </is>
      </c>
      <c r="U8" t="inlineStr">
        <is>
          <t>Acton</t>
        </is>
      </c>
    </row>
    <row r="9">
      <c r="A9" t="n">
        <v>201530</v>
      </c>
      <c r="D9" s="23" t="n">
        <v>44237</v>
      </c>
      <c r="F9" t="n">
        <v>4</v>
      </c>
      <c r="G9" t="n">
        <v>3</v>
      </c>
      <c r="L9" s="23" t="n">
        <v>44389</v>
      </c>
      <c r="M9" t="inlineStr">
        <is>
          <t>First Years Childcare Ltd</t>
        </is>
      </c>
      <c r="N9" t="inlineStr">
        <is>
          <t>Nursery Practitioners</t>
        </is>
      </c>
      <c r="U9" t="inlineStr">
        <is>
          <t>Acton</t>
        </is>
      </c>
    </row>
    <row r="10">
      <c r="A10" t="n">
        <v>201549</v>
      </c>
      <c r="D10" s="23" t="n">
        <v>44243</v>
      </c>
      <c r="F10" t="n">
        <v>1</v>
      </c>
      <c r="G10" t="n">
        <v>1</v>
      </c>
      <c r="L10" s="23" t="n">
        <v>44386</v>
      </c>
      <c r="M10" t="inlineStr">
        <is>
          <t>Cherry Red Records LTD</t>
        </is>
      </c>
      <c r="N10" t="inlineStr">
        <is>
          <t>Label Assistant</t>
        </is>
      </c>
      <c r="U10" t="inlineStr">
        <is>
          <t>Acton</t>
        </is>
      </c>
    </row>
    <row r="11">
      <c r="A11" t="n">
        <v>201965</v>
      </c>
      <c r="D11" s="23" t="n">
        <v>44272</v>
      </c>
      <c r="F11" t="n">
        <v>2</v>
      </c>
      <c r="G11" t="n">
        <v>2</v>
      </c>
      <c r="L11" s="23" t="n">
        <v>44388</v>
      </c>
      <c r="M11" t="inlineStr">
        <is>
          <t>D&amp;D London Ltd.</t>
        </is>
      </c>
      <c r="N11" t="inlineStr">
        <is>
          <t>BOH Kickstart</t>
        </is>
      </c>
      <c r="U11" t="inlineStr">
        <is>
          <t>Fulham</t>
        </is>
      </c>
    </row>
    <row r="12">
      <c r="A12" t="n">
        <v>201636</v>
      </c>
      <c r="D12" s="23" t="n">
        <v>44249</v>
      </c>
      <c r="F12" t="n">
        <v>5</v>
      </c>
      <c r="G12" t="n">
        <v>3</v>
      </c>
      <c r="L12" s="23" t="n">
        <v>44391</v>
      </c>
      <c r="M12" t="inlineStr">
        <is>
          <t>STERLING WINSHAW SOLICITORS LTD</t>
        </is>
      </c>
      <c r="N12" t="inlineStr">
        <is>
          <t>OFFICE ASSISTANT</t>
        </is>
      </c>
      <c r="U12" t="inlineStr">
        <is>
          <t>Harlesden</t>
        </is>
      </c>
    </row>
    <row r="13">
      <c r="A13" t="n">
        <v>201654</v>
      </c>
      <c r="D13" s="23" t="n">
        <v>44249</v>
      </c>
      <c r="F13" t="n">
        <v>5</v>
      </c>
      <c r="G13" t="n">
        <v>1</v>
      </c>
      <c r="L13" s="23" t="n">
        <v>44391</v>
      </c>
      <c r="M13" t="inlineStr">
        <is>
          <t>STERLING WINSHAW SOLICITORS LTD</t>
        </is>
      </c>
      <c r="N13" t="inlineStr">
        <is>
          <t>LEGAL ASSISTANT</t>
        </is>
      </c>
      <c r="U13" t="inlineStr">
        <is>
          <t>Harlesden</t>
        </is>
      </c>
    </row>
    <row r="14">
      <c r="A14" t="n">
        <v>201958</v>
      </c>
      <c r="D14" s="23" t="n">
        <v>44264</v>
      </c>
      <c r="F14" t="n">
        <v>2</v>
      </c>
      <c r="G14" t="n">
        <v>2</v>
      </c>
      <c r="L14" s="23" t="n">
        <v>44384</v>
      </c>
      <c r="M14" t="inlineStr">
        <is>
          <t>Living Spring Nursery</t>
        </is>
      </c>
      <c r="N14" t="inlineStr">
        <is>
          <t>Nursery Assistant</t>
        </is>
      </c>
      <c r="U14" t="inlineStr">
        <is>
          <t>Harlesden</t>
        </is>
      </c>
    </row>
    <row r="15">
      <c r="A15" t="n">
        <v>201968</v>
      </c>
      <c r="D15" s="23" t="n">
        <v>44249</v>
      </c>
      <c r="F15" t="n">
        <v>10</v>
      </c>
      <c r="G15" t="n">
        <v>6</v>
      </c>
      <c r="L15" s="23" t="n">
        <v>44391</v>
      </c>
      <c r="M15" t="inlineStr">
        <is>
          <t>STERLING WINSHAW SOLICITORS LTD</t>
        </is>
      </c>
      <c r="N15" t="inlineStr">
        <is>
          <t>SOCIAL MEDIA ASSISTANT</t>
        </is>
      </c>
      <c r="U15" t="inlineStr">
        <is>
          <t>Harlesden</t>
        </is>
      </c>
    </row>
    <row r="16">
      <c r="A16" t="n">
        <v>201972</v>
      </c>
      <c r="D16" s="23" t="n">
        <v>44249</v>
      </c>
      <c r="F16" t="n">
        <v>10</v>
      </c>
      <c r="G16" t="n">
        <v>9</v>
      </c>
      <c r="L16" s="23" t="n">
        <v>44391</v>
      </c>
      <c r="M16" t="inlineStr">
        <is>
          <t>STERLING WINSHAW SOLICITORS LTD</t>
        </is>
      </c>
      <c r="N16" t="inlineStr">
        <is>
          <t>MARKETING ASSISTANT</t>
        </is>
      </c>
      <c r="U16" t="inlineStr">
        <is>
          <t>Harlesden</t>
        </is>
      </c>
    </row>
    <row r="17">
      <c r="A17" t="n">
        <v>201766</v>
      </c>
      <c r="D17" s="23" t="n">
        <v>44263</v>
      </c>
      <c r="F17" t="n">
        <v>8</v>
      </c>
      <c r="G17" t="n">
        <v>2</v>
      </c>
      <c r="L17" s="23" t="n">
        <v>44389</v>
      </c>
      <c r="M17" t="inlineStr">
        <is>
          <t>Aarti Consulting Services Limited</t>
        </is>
      </c>
      <c r="N17" t="inlineStr">
        <is>
          <t>Data Entry Assistant</t>
        </is>
      </c>
      <c r="U17" t="inlineStr">
        <is>
          <t>Harrow</t>
        </is>
      </c>
    </row>
    <row r="18">
      <c r="A18" t="n">
        <v>201944</v>
      </c>
      <c r="D18" s="23" t="n">
        <v>44263</v>
      </c>
      <c r="F18" t="n">
        <v>2</v>
      </c>
      <c r="G18" t="n">
        <v>1</v>
      </c>
      <c r="L18" s="23" t="n">
        <v>44389</v>
      </c>
      <c r="M18" t="inlineStr">
        <is>
          <t>Aarti Consulting Services Limited</t>
        </is>
      </c>
      <c r="N18" t="inlineStr">
        <is>
          <t>Project Admin Assistant</t>
        </is>
      </c>
      <c r="U18" t="inlineStr">
        <is>
          <t>Harrow</t>
        </is>
      </c>
    </row>
    <row r="19">
      <c r="A19" t="n">
        <v>201521</v>
      </c>
      <c r="D19" s="23" t="n">
        <v>44231</v>
      </c>
      <c r="F19" t="n">
        <v>1</v>
      </c>
      <c r="G19" t="n">
        <v>1</v>
      </c>
      <c r="L19" s="23" t="n">
        <v>44386</v>
      </c>
      <c r="M19" t="inlineStr">
        <is>
          <t>Lords Builders Merchants Holdings Limited</t>
        </is>
      </c>
      <c r="N19" t="inlineStr">
        <is>
          <t>Assistant Forklift Truck Driver</t>
        </is>
      </c>
      <c r="U19" t="inlineStr">
        <is>
          <t>Hayes</t>
        </is>
      </c>
    </row>
    <row r="20">
      <c r="A20" t="n">
        <v>201571</v>
      </c>
      <c r="D20" s="23" t="n">
        <v>44245</v>
      </c>
      <c r="F20" t="n">
        <v>2</v>
      </c>
      <c r="G20" t="n">
        <v>2</v>
      </c>
      <c r="L20" s="23" t="n">
        <v>44391</v>
      </c>
      <c r="M20" t="inlineStr">
        <is>
          <t>Lee Marley Brickwork Limited</t>
        </is>
      </c>
      <c r="N20" t="inlineStr">
        <is>
          <t>Insulation fixer</t>
        </is>
      </c>
      <c r="U20" t="inlineStr">
        <is>
          <t>Hayes</t>
        </is>
      </c>
    </row>
    <row r="21">
      <c r="A21" t="n">
        <v>201581</v>
      </c>
      <c r="D21" s="23" t="n">
        <v>44245</v>
      </c>
      <c r="F21" t="n">
        <v>2</v>
      </c>
      <c r="G21" t="n">
        <v>2</v>
      </c>
      <c r="L21" s="23" t="n">
        <v>44391</v>
      </c>
      <c r="M21" t="inlineStr">
        <is>
          <t>Lee Marley Brickwork Limited</t>
        </is>
      </c>
      <c r="N21" t="inlineStr">
        <is>
          <t>Masonry Support FixerSteel Fixer</t>
        </is>
      </c>
      <c r="U21" t="inlineStr">
        <is>
          <t>Hayes</t>
        </is>
      </c>
    </row>
    <row r="22">
      <c r="A22" t="n">
        <v>201739</v>
      </c>
      <c r="D22" s="23" t="n">
        <v>44258</v>
      </c>
      <c r="F22" t="n">
        <v>2</v>
      </c>
      <c r="G22" t="n">
        <v>1</v>
      </c>
      <c r="L22" s="23" t="n">
        <v>44387</v>
      </c>
      <c r="M22" t="inlineStr">
        <is>
          <t>Metroline Limited</t>
        </is>
      </c>
      <c r="N22" t="inlineStr">
        <is>
          <t>Operations Support Assistant</t>
        </is>
      </c>
      <c r="U22" t="inlineStr">
        <is>
          <t>Hounslow</t>
        </is>
      </c>
    </row>
    <row r="23">
      <c r="A23" t="n">
        <v>201971</v>
      </c>
      <c r="D23" s="23" t="n">
        <v>44336</v>
      </c>
      <c r="F23" t="n">
        <v>8</v>
      </c>
      <c r="G23" t="n">
        <v>7</v>
      </c>
      <c r="L23" s="23" t="n">
        <v>44386</v>
      </c>
      <c r="M23" t="inlineStr">
        <is>
          <t>Cranford Community College</t>
        </is>
      </c>
      <c r="N23" t="inlineStr">
        <is>
          <t>Teaching Assistant</t>
        </is>
      </c>
      <c r="U23" t="inlineStr">
        <is>
          <t>Hounslow</t>
        </is>
      </c>
    </row>
    <row r="24">
      <c r="A24" t="n">
        <v>201967</v>
      </c>
      <c r="D24" s="23" t="n">
        <v>44273</v>
      </c>
      <c r="F24" t="n">
        <v>1</v>
      </c>
      <c r="G24" t="n">
        <v>1</v>
      </c>
      <c r="L24" s="23" t="n">
        <v>44384</v>
      </c>
      <c r="M24" t="inlineStr">
        <is>
          <t>COMFORT CARE AT HOME LIMITED</t>
        </is>
      </c>
      <c r="N24" t="inlineStr">
        <is>
          <t>Communication and Social Media Trainee</t>
        </is>
      </c>
      <c r="U24" t="inlineStr">
        <is>
          <t>Kingston</t>
        </is>
      </c>
    </row>
    <row r="25">
      <c r="A25" t="n">
        <v>201960</v>
      </c>
      <c r="D25" s="23" t="n">
        <v>44267</v>
      </c>
      <c r="F25" t="n">
        <v>1</v>
      </c>
      <c r="G25" t="n">
        <v>1</v>
      </c>
      <c r="L25" s="23" t="n">
        <v>44386</v>
      </c>
      <c r="M25" t="inlineStr">
        <is>
          <t>do not use  Achieving for Children</t>
        </is>
      </c>
      <c r="N25" t="inlineStr">
        <is>
          <t>AfC Kickstart Trainee Youth Worker</t>
        </is>
      </c>
      <c r="U25" t="inlineStr">
        <is>
          <t>Twickenham</t>
        </is>
      </c>
    </row>
    <row r="26">
      <c r="A26" t="n">
        <v>201989</v>
      </c>
      <c r="D26" s="23" t="n">
        <v>44350</v>
      </c>
      <c r="F26" t="n">
        <v>1</v>
      </c>
      <c r="G26" t="n">
        <v>0</v>
      </c>
      <c r="L26" s="23" t="n">
        <v>44407</v>
      </c>
      <c r="M26" t="inlineStr">
        <is>
          <t>Carvaan Trading Ltd</t>
        </is>
      </c>
      <c r="N26" t="inlineStr">
        <is>
          <t>Admin Assistant</t>
        </is>
      </c>
      <c r="U26" t="inlineStr">
        <is>
          <t>Hounslow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tabSelected="1" workbookViewId="0">
      <selection activeCell="J21" sqref="J21"/>
    </sheetView>
  </sheetViews>
  <sheetFormatPr baseColWidth="8" defaultColWidth="13.5416666666667" defaultRowHeight="14"/>
  <sheetData>
    <row r="1">
      <c r="B1" s="1" t="n"/>
    </row>
    <row r="4" ht="14.75" customHeight="1">
      <c r="B4" s="2" t="inlineStr">
        <is>
          <t>EXPECTED RESULTS</t>
        </is>
      </c>
    </row>
    <row r="5" ht="14.75" customHeight="1">
      <c r="A5" s="3" t="inlineStr">
        <is>
          <t>COLUMN A</t>
        </is>
      </c>
      <c r="B5" s="3" t="inlineStr">
        <is>
          <t>COLUMN U</t>
        </is>
      </c>
      <c r="C5" s="4" t="inlineStr">
        <is>
          <t>COLUMN G</t>
        </is>
      </c>
      <c r="D5" s="4" t="inlineStr">
        <is>
          <t>COLUMN F</t>
        </is>
      </c>
      <c r="E5" s="4" t="inlineStr">
        <is>
          <t>COLUMN M</t>
        </is>
      </c>
      <c r="F5" s="4" t="inlineStr">
        <is>
          <t>COLUMN N</t>
        </is>
      </c>
      <c r="G5" s="4" t="inlineStr">
        <is>
          <t>COLUMN D</t>
        </is>
      </c>
      <c r="H5" s="5" t="inlineStr">
        <is>
          <t>COLUMN L</t>
        </is>
      </c>
    </row>
    <row r="6" ht="28" customHeight="1">
      <c r="A6" s="6" t="inlineStr">
        <is>
          <t>Advert Id</t>
        </is>
      </c>
      <c r="B6" s="7" t="inlineStr">
        <is>
          <t>Site</t>
        </is>
      </c>
      <c r="C6" s="8" t="inlineStr">
        <is>
          <t>Unfilled Ending within 7 Days</t>
        </is>
      </c>
      <c r="D6" s="8" t="inlineStr">
        <is>
          <t>No. Of Vacancies</t>
        </is>
      </c>
      <c r="E6" s="8" t="inlineStr">
        <is>
          <t>Employer Name</t>
        </is>
      </c>
      <c r="F6" s="9" t="inlineStr">
        <is>
          <t>Job Title</t>
        </is>
      </c>
      <c r="G6" s="10" t="inlineStr">
        <is>
          <t>Created At</t>
        </is>
      </c>
      <c r="H6" s="11" t="inlineStr">
        <is>
          <t>Closing Date</t>
        </is>
      </c>
    </row>
    <row r="7" ht="28.75" customHeight="1">
      <c r="A7" s="12" t="n"/>
      <c r="B7" s="13" t="inlineStr">
        <is>
          <t>(Assending order A-z)</t>
        </is>
      </c>
      <c r="C7" s="14" t="n"/>
      <c r="D7" s="14" t="n"/>
      <c r="E7" s="14" t="n"/>
      <c r="F7" s="15" t="n"/>
      <c r="G7" s="16" t="n"/>
      <c r="H7" s="17" t="n"/>
    </row>
    <row r="8" ht="29" customHeight="1">
      <c r="A8" s="18" t="n">
        <v>201525</v>
      </c>
      <c r="B8" s="19" t="inlineStr">
        <is>
          <t>Acton</t>
        </is>
      </c>
      <c r="C8" s="20" t="n">
        <v>3</v>
      </c>
      <c r="D8" s="20" t="n">
        <v>4</v>
      </c>
      <c r="E8" s="21" t="inlineStr">
        <is>
          <t>First Years Childcare Ltd</t>
        </is>
      </c>
      <c r="F8" s="21" t="inlineStr">
        <is>
          <t>Nursery Practitioners</t>
        </is>
      </c>
      <c r="G8" s="22" t="n">
        <v>44237</v>
      </c>
      <c r="H8" s="22" t="n">
        <v>44389</v>
      </c>
    </row>
    <row r="9" ht="29" customHeight="1">
      <c r="A9" s="18" t="n">
        <v>201530</v>
      </c>
      <c r="B9" s="19" t="inlineStr">
        <is>
          <t>Acton</t>
        </is>
      </c>
      <c r="C9" s="20" t="n">
        <v>3</v>
      </c>
      <c r="D9" s="20" t="n">
        <v>4</v>
      </c>
      <c r="E9" s="21" t="inlineStr">
        <is>
          <t>First Years Childcare Ltd</t>
        </is>
      </c>
      <c r="F9" s="21" t="inlineStr">
        <is>
          <t>Nursery Practitioners</t>
        </is>
      </c>
      <c r="G9" s="22" t="n">
        <v>44237</v>
      </c>
      <c r="H9" s="22" t="n">
        <v>44389</v>
      </c>
    </row>
    <row r="10" ht="29" customHeight="1">
      <c r="A10" s="18" t="n">
        <v>201549</v>
      </c>
      <c r="B10" s="19" t="inlineStr">
        <is>
          <t>Acton</t>
        </is>
      </c>
      <c r="C10" s="20" t="n">
        <v>1</v>
      </c>
      <c r="D10" s="20" t="n">
        <v>1</v>
      </c>
      <c r="E10" s="21" t="inlineStr">
        <is>
          <t>Cherry Red Records LTD</t>
        </is>
      </c>
      <c r="F10" s="21" t="inlineStr">
        <is>
          <t>Label Assistant</t>
        </is>
      </c>
      <c r="G10" s="22" t="n">
        <v>44243</v>
      </c>
      <c r="H10" s="22" t="n">
        <v>44386</v>
      </c>
    </row>
    <row r="11" ht="29" customHeight="1">
      <c r="A11" s="18" t="n">
        <v>201965</v>
      </c>
      <c r="B11" s="19" t="inlineStr">
        <is>
          <t>Fulham</t>
        </is>
      </c>
      <c r="C11" s="20" t="n">
        <v>2</v>
      </c>
      <c r="D11" s="20" t="n">
        <v>2</v>
      </c>
      <c r="E11" s="21" t="inlineStr">
        <is>
          <t>D&amp;D London Ltd.</t>
        </is>
      </c>
      <c r="F11" s="21" t="inlineStr">
        <is>
          <t>BOH Kickstart</t>
        </is>
      </c>
      <c r="G11" s="22" t="n">
        <v>44272</v>
      </c>
      <c r="H11" s="22" t="n">
        <v>44388</v>
      </c>
    </row>
    <row r="12" ht="43.5" customHeight="1">
      <c r="A12" s="18" t="n">
        <v>201636</v>
      </c>
      <c r="B12" s="19" t="inlineStr">
        <is>
          <t>Harlesden</t>
        </is>
      </c>
      <c r="C12" s="20" t="n">
        <v>3</v>
      </c>
      <c r="D12" s="20" t="n">
        <v>5</v>
      </c>
      <c r="E12" s="21" t="inlineStr">
        <is>
          <t>STERLING WINSHAW SOLICITORS LTD</t>
        </is>
      </c>
      <c r="F12" s="21" t="inlineStr">
        <is>
          <t>OFFICE ASSISTANT</t>
        </is>
      </c>
      <c r="G12" s="22" t="n">
        <v>44249</v>
      </c>
      <c r="H12" s="22" t="n">
        <v>44391</v>
      </c>
    </row>
    <row r="13" ht="43.5" customHeight="1">
      <c r="A13" s="18" t="n">
        <v>201654</v>
      </c>
      <c r="B13" s="19" t="inlineStr">
        <is>
          <t>Harlesden</t>
        </is>
      </c>
      <c r="C13" s="20" t="n">
        <v>1</v>
      </c>
      <c r="D13" s="20" t="n">
        <v>5</v>
      </c>
      <c r="E13" s="21" t="inlineStr">
        <is>
          <t>STERLING WINSHAW SOLICITORS LTD</t>
        </is>
      </c>
      <c r="F13" s="21" t="inlineStr">
        <is>
          <t>LEGAL ASSISTANT</t>
        </is>
      </c>
      <c r="G13" s="22" t="n">
        <v>44249</v>
      </c>
      <c r="H13" s="22" t="n">
        <v>44391</v>
      </c>
    </row>
    <row r="14" ht="29" customHeight="1">
      <c r="A14" s="18" t="n">
        <v>201958</v>
      </c>
      <c r="B14" s="19" t="inlineStr">
        <is>
          <t>Harlesden</t>
        </is>
      </c>
      <c r="C14" s="20" t="n">
        <v>2</v>
      </c>
      <c r="D14" s="20" t="n">
        <v>2</v>
      </c>
      <c r="E14" s="21" t="inlineStr">
        <is>
          <t>Living Spring Nursery</t>
        </is>
      </c>
      <c r="F14" s="21" t="inlineStr">
        <is>
          <t>Nursery Assistant</t>
        </is>
      </c>
      <c r="G14" s="22" t="n">
        <v>44264</v>
      </c>
      <c r="H14" s="22" t="n">
        <v>44384</v>
      </c>
    </row>
    <row r="15" ht="43.5" customHeight="1">
      <c r="A15" s="18" t="n">
        <v>201968</v>
      </c>
      <c r="B15" s="19" t="inlineStr">
        <is>
          <t>Harlesden</t>
        </is>
      </c>
      <c r="C15" s="20" t="n">
        <v>6</v>
      </c>
      <c r="D15" s="20" t="n">
        <v>10</v>
      </c>
      <c r="E15" s="21" t="inlineStr">
        <is>
          <t>STERLING WINSHAW SOLICITORS LTD</t>
        </is>
      </c>
      <c r="F15" s="21" t="inlineStr">
        <is>
          <t>SOCIAL MEDIA ASSISTANT</t>
        </is>
      </c>
      <c r="G15" s="22" t="n">
        <v>44249</v>
      </c>
      <c r="H15" s="22" t="n">
        <v>44391</v>
      </c>
    </row>
    <row r="16" ht="43.5" customHeight="1">
      <c r="A16" s="18" t="n">
        <v>201972</v>
      </c>
      <c r="B16" s="19" t="inlineStr">
        <is>
          <t>Harlesden</t>
        </is>
      </c>
      <c r="C16" s="20" t="n">
        <v>9</v>
      </c>
      <c r="D16" s="20" t="n">
        <v>10</v>
      </c>
      <c r="E16" s="21" t="inlineStr">
        <is>
          <t>STERLING WINSHAW SOLICITORS LTD</t>
        </is>
      </c>
      <c r="F16" s="21" t="inlineStr">
        <is>
          <t>MARKETING ASSISTANT</t>
        </is>
      </c>
      <c r="G16" s="22" t="n">
        <v>44249</v>
      </c>
      <c r="H16" s="22" t="n">
        <v>44391</v>
      </c>
    </row>
    <row r="17" ht="14.5" customHeight="1">
      <c r="A17" s="18" t="n">
        <v>201766</v>
      </c>
      <c r="B17" s="19" t="inlineStr">
        <is>
          <t>Harrow</t>
        </is>
      </c>
      <c r="C17" s="20" t="n">
        <v>2</v>
      </c>
      <c r="D17" s="20" t="n">
        <v>8</v>
      </c>
      <c r="E17" s="21" t="inlineStr">
        <is>
          <t>Aarti Consulting Services Limited</t>
        </is>
      </c>
      <c r="F17" s="21" t="inlineStr">
        <is>
          <t>Data Entry Assistant</t>
        </is>
      </c>
      <c r="G17" s="22" t="n">
        <v>44263</v>
      </c>
      <c r="H17" s="22" t="n">
        <v>44389</v>
      </c>
    </row>
    <row r="18" ht="14.5" customHeight="1">
      <c r="A18" s="18" t="n">
        <v>201944</v>
      </c>
      <c r="B18" s="19" t="inlineStr">
        <is>
          <t>Harrow</t>
        </is>
      </c>
      <c r="C18" s="20" t="n">
        <v>1</v>
      </c>
      <c r="D18" s="20" t="n">
        <v>2</v>
      </c>
      <c r="E18" s="21" t="inlineStr">
        <is>
          <t>Aarti Consulting Services Limited</t>
        </is>
      </c>
      <c r="F18" s="21" t="inlineStr">
        <is>
          <t>Project Admin Assistant</t>
        </is>
      </c>
      <c r="G18" s="22" t="n">
        <v>44263</v>
      </c>
      <c r="H18" s="22" t="n">
        <v>44389</v>
      </c>
    </row>
    <row r="19" ht="14.5" customHeight="1">
      <c r="A19" s="18" t="n">
        <v>201521</v>
      </c>
      <c r="B19" s="19" t="inlineStr">
        <is>
          <t>Hayes</t>
        </is>
      </c>
      <c r="C19" s="20" t="n">
        <v>1</v>
      </c>
      <c r="D19" s="20" t="n">
        <v>1</v>
      </c>
      <c r="E19" s="21" t="inlineStr">
        <is>
          <t>Lords Builders Merchants Holdings Limited</t>
        </is>
      </c>
      <c r="F19" s="21" t="inlineStr">
        <is>
          <t>Assistant Forklift Truck Driver</t>
        </is>
      </c>
      <c r="G19" s="22" t="n">
        <v>44231</v>
      </c>
      <c r="H19" s="22" t="n">
        <v>44386</v>
      </c>
    </row>
    <row r="20" ht="14.5" customHeight="1">
      <c r="A20" s="18" t="n">
        <v>201571</v>
      </c>
      <c r="B20" s="19" t="inlineStr">
        <is>
          <t>Hayes</t>
        </is>
      </c>
      <c r="C20" s="20" t="n">
        <v>2</v>
      </c>
      <c r="D20" s="20" t="n">
        <v>2</v>
      </c>
      <c r="E20" s="21" t="inlineStr">
        <is>
          <t>Lee Marley Brickwork Limited</t>
        </is>
      </c>
      <c r="F20" s="21" t="inlineStr">
        <is>
          <t>Insulation fixer</t>
        </is>
      </c>
      <c r="G20" s="22" t="n">
        <v>44245</v>
      </c>
      <c r="H20" s="22" t="n">
        <v>44391</v>
      </c>
    </row>
    <row r="21" ht="14.5" customHeight="1">
      <c r="A21" s="18" t="n">
        <v>201581</v>
      </c>
      <c r="B21" s="19" t="inlineStr">
        <is>
          <t>Hayes</t>
        </is>
      </c>
      <c r="C21" s="20" t="n">
        <v>2</v>
      </c>
      <c r="D21" s="20" t="n">
        <v>2</v>
      </c>
      <c r="E21" s="21" t="inlineStr">
        <is>
          <t>Lee Marley Brickwork Limited</t>
        </is>
      </c>
      <c r="F21" s="21" t="inlineStr">
        <is>
          <t>Masonry Support FixerSteel Fixer</t>
        </is>
      </c>
      <c r="G21" s="22" t="n">
        <v>44245</v>
      </c>
      <c r="H21" s="22" t="n">
        <v>44391</v>
      </c>
    </row>
    <row r="22" ht="14.5" customHeight="1">
      <c r="A22" s="18" t="n">
        <v>201739</v>
      </c>
      <c r="B22" s="19" t="inlineStr">
        <is>
          <t>Hounslow</t>
        </is>
      </c>
      <c r="C22" s="20" t="n">
        <v>1</v>
      </c>
      <c r="D22" s="20" t="n">
        <v>2</v>
      </c>
      <c r="E22" s="21" t="inlineStr">
        <is>
          <t>Metroline Limited</t>
        </is>
      </c>
      <c r="F22" s="21" t="inlineStr">
        <is>
          <t>Operations Support Assistant</t>
        </is>
      </c>
      <c r="G22" s="22" t="n">
        <v>44258</v>
      </c>
      <c r="H22" s="22" t="n">
        <v>44387</v>
      </c>
    </row>
    <row r="23" ht="14.5" customHeight="1">
      <c r="A23" s="18" t="n">
        <v>201971</v>
      </c>
      <c r="B23" s="19" t="inlineStr">
        <is>
          <t>Hounslow</t>
        </is>
      </c>
      <c r="C23" s="20" t="n">
        <v>7</v>
      </c>
      <c r="D23" s="20" t="n">
        <v>8</v>
      </c>
      <c r="E23" s="21" t="inlineStr">
        <is>
          <t>Cranford Community College</t>
        </is>
      </c>
      <c r="F23" s="21" t="inlineStr">
        <is>
          <t>Teaching Assistant</t>
        </is>
      </c>
      <c r="G23" s="22" t="n">
        <v>44336</v>
      </c>
      <c r="H23" s="22" t="n">
        <v>44386</v>
      </c>
    </row>
    <row r="24" ht="14.5" customHeight="1">
      <c r="A24" s="18" t="n">
        <v>201967</v>
      </c>
      <c r="B24" s="19" t="inlineStr">
        <is>
          <t>Kingston</t>
        </is>
      </c>
      <c r="C24" s="20" t="n">
        <v>1</v>
      </c>
      <c r="D24" s="20" t="n">
        <v>1</v>
      </c>
      <c r="E24" s="21" t="inlineStr">
        <is>
          <t>COMFORT CARE AT HOME LIMITED</t>
        </is>
      </c>
      <c r="F24" s="21" t="inlineStr">
        <is>
          <t>Communication and Social Media Trainee</t>
        </is>
      </c>
      <c r="G24" s="22" t="n">
        <v>44273</v>
      </c>
      <c r="H24" s="22" t="n">
        <v>44384</v>
      </c>
    </row>
    <row r="25" ht="14.5" customHeight="1">
      <c r="A25" s="18" t="n">
        <v>201960</v>
      </c>
      <c r="B25" s="19" t="inlineStr">
        <is>
          <t>Twickenham</t>
        </is>
      </c>
      <c r="C25" s="20" t="n">
        <v>1</v>
      </c>
      <c r="D25" s="20" t="n">
        <v>1</v>
      </c>
      <c r="E25" s="21" t="inlineStr">
        <is>
          <t>do not use  Achieving for Children</t>
        </is>
      </c>
      <c r="F25" s="21" t="inlineStr">
        <is>
          <t>AfC Kickstart Trainee Youth Worker</t>
        </is>
      </c>
      <c r="G25" s="22" t="n">
        <v>44267</v>
      </c>
      <c r="H25" s="22" t="n">
        <v>44386</v>
      </c>
    </row>
    <row r="26" ht="14.5" customHeight="1">
      <c r="A26" s="18">
        <f t="array" ref="A26">IFERROR(INDEX(RAW!$A:$U,_xlfn.AGGREGATE(15,6,ROW(RAW!$G$2:$G$50)/(RAW!$G$2:$G$50&gt;0),ROWS(A$8:A26)),MATCH(A$6,RAW!$A$1:$U$1,0)),"")</f>
        <v/>
      </c>
      <c r="B26" s="19">
        <f t="array" ref="B26">IFERROR(INDEX(RAW!$A:$U,_xlfn.AGGREGATE(15,6,ROW(RAW!$G$2:$G$50)/(RAW!$G$2:$G$50&gt;0),ROWS(B$8:B26)),MATCH(B$6,RAW!$A$1:$U$1,0)),"")</f>
        <v/>
      </c>
      <c r="C26" s="20">
        <f t="array" ref="C26">IFERROR(INDEX(RAW!$A:$U,_xlfn.AGGREGATE(15,6,ROW(RAW!$G$2:$G$50)/(RAW!$G$2:$G$50&gt;0),ROWS(C$8:C26)),MATCH(C$6,RAW!$A$1:$U$1,0)),"")</f>
        <v/>
      </c>
      <c r="D26" s="20">
        <f t="array" ref="D26">IFERROR(INDEX(RAW!$A:$U,_xlfn.AGGREGATE(15,6,ROW(RAW!$G$2:$G$50)/(RAW!$G$2:$G$50&gt;0),ROWS(D$8:D26)),MATCH(D$6,RAW!$A$1:$U$1,0)),"")</f>
        <v/>
      </c>
      <c r="E26" s="21">
        <f t="array" ref="E26">IFERROR(INDEX(RAW!$A:$U,_xlfn.AGGREGATE(15,6,ROW(RAW!$G$2:$G$50)/(RAW!$G$2:$G$50&gt;0),ROWS(E$8:E26)),MATCH(E$6,RAW!$A$1:$U$1,0)),"")</f>
        <v/>
      </c>
      <c r="F26" s="21">
        <f t="array" ref="F26">IFERROR(INDEX(RAW!$A:$U,_xlfn.AGGREGATE(15,6,ROW(RAW!$G$2:$G$50)/(RAW!$G$2:$G$50&gt;0),ROWS(F$8:F26)),MATCH(F$6,RAW!$A$1:$U$1,0)),"")</f>
        <v/>
      </c>
      <c r="G26" s="22">
        <f t="array" ref="G26">IFERROR(INDEX(RAW!$A:$U,_xlfn.AGGREGATE(15,6,ROW(RAW!$G$2:$G$50)/(RAW!$G$2:$G$50&gt;0),ROWS(G$8:G26)),MATCH(G$6,RAW!$A$1:$U$1,0)),"")</f>
        <v/>
      </c>
      <c r="H26" s="22">
        <f t="array" ref="H26">IFERROR(INDEX(RAW!$A:$U,_xlfn.AGGREGATE(15,6,ROW(RAW!$G$2:$G$50)/(RAW!$G$2:$G$50&gt;0),ROWS(H$8:H26)),MATCH(H$6,RAW!$A$1:$U$1,0)),"")</f>
        <v/>
      </c>
    </row>
    <row r="27" ht="14.5" customHeight="1">
      <c r="A27" s="18">
        <f t="array" ref="A27">IFERROR(INDEX(RAW!$A:$U,_xlfn.AGGREGATE(15,6,ROW(RAW!$G$2:$G$50)/(RAW!$G$2:$G$50&gt;0),ROWS(A$8:A27)),MATCH(A$6,RAW!$A$1:$U$1,0)),"")</f>
        <v/>
      </c>
      <c r="B27" s="19">
        <f t="array" ref="B27">IFERROR(INDEX(RAW!$A:$U,_xlfn.AGGREGATE(15,6,ROW(RAW!$G$2:$G$50)/(RAW!$G$2:$G$50&gt;0),ROWS(B$8:B27)),MATCH(B$6,RAW!$A$1:$U$1,0)),"")</f>
        <v/>
      </c>
      <c r="C27" s="20">
        <f t="array" ref="C27">IFERROR(INDEX(RAW!$A:$U,_xlfn.AGGREGATE(15,6,ROW(RAW!$G$2:$G$50)/(RAW!$G$2:$G$50&gt;0),ROWS(C$8:C27)),MATCH(C$6,RAW!$A$1:$U$1,0)),"")</f>
        <v/>
      </c>
      <c r="D27" s="20">
        <f t="array" ref="D27">IFERROR(INDEX(RAW!$A:$U,_xlfn.AGGREGATE(15,6,ROW(RAW!$G$2:$G$50)/(RAW!$G$2:$G$50&gt;0),ROWS(D$8:D27)),MATCH(D$6,RAW!$A$1:$U$1,0)),"")</f>
        <v/>
      </c>
      <c r="E27" s="21">
        <f t="array" ref="E27">IFERROR(INDEX(RAW!$A:$U,_xlfn.AGGREGATE(15,6,ROW(RAW!$G$2:$G$50)/(RAW!$G$2:$G$50&gt;0),ROWS(E$8:E27)),MATCH(E$6,RAW!$A$1:$U$1,0)),"")</f>
        <v/>
      </c>
      <c r="F27" s="21">
        <f t="array" ref="F27">IFERROR(INDEX(RAW!$A:$U,_xlfn.AGGREGATE(15,6,ROW(RAW!$G$2:$G$50)/(RAW!$G$2:$G$50&gt;0),ROWS(F$8:F27)),MATCH(F$6,RAW!$A$1:$U$1,0)),"")</f>
        <v/>
      </c>
      <c r="G27" s="22">
        <f t="array" ref="G27">IFERROR(INDEX(RAW!$A:$U,_xlfn.AGGREGATE(15,6,ROW(RAW!$G$2:$G$50)/(RAW!$G$2:$G$50&gt;0),ROWS(G$8:G27)),MATCH(G$6,RAW!$A$1:$U$1,0)),"")</f>
        <v/>
      </c>
      <c r="H27" s="22">
        <f t="array" ref="H27">IFERROR(INDEX(RAW!$A:$U,_xlfn.AGGREGATE(15,6,ROW(RAW!$G$2:$G$50)/(RAW!$G$2:$G$50&gt;0),ROWS(H$8:H27)),MATCH(H$6,RAW!$A$1:$U$1,0)),"")</f>
        <v/>
      </c>
    </row>
    <row r="28" ht="14.5" customHeight="1">
      <c r="A28" s="18">
        <f t="array" ref="A28">IFERROR(INDEX(RAW!$A:$U,_xlfn.AGGREGATE(15,6,ROW(RAW!$G$2:$G$50)/(RAW!$G$2:$G$50&gt;0),ROWS(A$8:A28)),MATCH(A$6,RAW!$A$1:$U$1,0)),"")</f>
        <v/>
      </c>
      <c r="B28" s="19">
        <f t="array" ref="B28">IFERROR(INDEX(RAW!$A:$U,_xlfn.AGGREGATE(15,6,ROW(RAW!$G$2:$G$50)/(RAW!$G$2:$G$50&gt;0),ROWS(B$8:B28)),MATCH(B$6,RAW!$A$1:$U$1,0)),"")</f>
        <v/>
      </c>
      <c r="C28" s="20">
        <f t="array" ref="C28">IFERROR(INDEX(RAW!$A:$U,_xlfn.AGGREGATE(15,6,ROW(RAW!$G$2:$G$50)/(RAW!$G$2:$G$50&gt;0),ROWS(C$8:C28)),MATCH(C$6,RAW!$A$1:$U$1,0)),"")</f>
        <v/>
      </c>
      <c r="D28" s="20">
        <f t="array" ref="D28">IFERROR(INDEX(RAW!$A:$U,_xlfn.AGGREGATE(15,6,ROW(RAW!$G$2:$G$50)/(RAW!$G$2:$G$50&gt;0),ROWS(D$8:D28)),MATCH(D$6,RAW!$A$1:$U$1,0)),"")</f>
        <v/>
      </c>
      <c r="E28" s="21">
        <f t="array" ref="E28">IFERROR(INDEX(RAW!$A:$U,_xlfn.AGGREGATE(15,6,ROW(RAW!$G$2:$G$50)/(RAW!$G$2:$G$50&gt;0),ROWS(E$8:E28)),MATCH(E$6,RAW!$A$1:$U$1,0)),"")</f>
        <v/>
      </c>
      <c r="F28" s="21">
        <f t="array" ref="F28">IFERROR(INDEX(RAW!$A:$U,_xlfn.AGGREGATE(15,6,ROW(RAW!$G$2:$G$50)/(RAW!$G$2:$G$50&gt;0),ROWS(F$8:F28)),MATCH(F$6,RAW!$A$1:$U$1,0)),"")</f>
        <v/>
      </c>
      <c r="G28" s="22">
        <f t="array" ref="G28">IFERROR(INDEX(RAW!$A:$U,_xlfn.AGGREGATE(15,6,ROW(RAW!$G$2:$G$50)/(RAW!$G$2:$G$50&gt;0),ROWS(G$8:G28)),MATCH(G$6,RAW!$A$1:$U$1,0)),"")</f>
        <v/>
      </c>
      <c r="H28" s="22">
        <f t="array" ref="H28">IFERROR(INDEX(RAW!$A:$U,_xlfn.AGGREGATE(15,6,ROW(RAW!$G$2:$G$50)/(RAW!$G$2:$G$50&gt;0),ROWS(H$8:H28)),MATCH(H$6,RAW!$A$1:$U$1,0)),"")</f>
        <v/>
      </c>
    </row>
    <row r="29" ht="14.5" customHeight="1">
      <c r="A29" s="18">
        <f t="array" ref="A29">IFERROR(INDEX(RAW!$A:$U,_xlfn.AGGREGATE(15,6,ROW(RAW!$G$2:$G$50)/(RAW!$G$2:$G$50&gt;0),ROWS(A$8:A29)),MATCH(A$6,RAW!$A$1:$U$1,0)),"")</f>
        <v/>
      </c>
      <c r="B29" s="19">
        <f t="array" ref="B29">IFERROR(INDEX(RAW!$A:$U,_xlfn.AGGREGATE(15,6,ROW(RAW!$G$2:$G$50)/(RAW!$G$2:$G$50&gt;0),ROWS(B$8:B29)),MATCH(B$6,RAW!$A$1:$U$1,0)),"")</f>
        <v/>
      </c>
      <c r="C29" s="20">
        <f t="array" ref="C29">IFERROR(INDEX(RAW!$A:$U,_xlfn.AGGREGATE(15,6,ROW(RAW!$G$2:$G$50)/(RAW!$G$2:$G$50&gt;0),ROWS(C$8:C29)),MATCH(C$6,RAW!$A$1:$U$1,0)),"")</f>
        <v/>
      </c>
      <c r="D29" s="20">
        <f t="array" ref="D29">IFERROR(INDEX(RAW!$A:$U,_xlfn.AGGREGATE(15,6,ROW(RAW!$G$2:$G$50)/(RAW!$G$2:$G$50&gt;0),ROWS(D$8:D29)),MATCH(D$6,RAW!$A$1:$U$1,0)),"")</f>
        <v/>
      </c>
      <c r="E29" s="21">
        <f t="array" ref="E29">IFERROR(INDEX(RAW!$A:$U,_xlfn.AGGREGATE(15,6,ROW(RAW!$G$2:$G$50)/(RAW!$G$2:$G$50&gt;0),ROWS(E$8:E29)),MATCH(E$6,RAW!$A$1:$U$1,0)),"")</f>
        <v/>
      </c>
      <c r="F29" s="21">
        <f t="array" ref="F29">IFERROR(INDEX(RAW!$A:$U,_xlfn.AGGREGATE(15,6,ROW(RAW!$G$2:$G$50)/(RAW!$G$2:$G$50&gt;0),ROWS(F$8:F29)),MATCH(F$6,RAW!$A$1:$U$1,0)),"")</f>
        <v/>
      </c>
      <c r="G29" s="22">
        <f t="array" ref="G29">IFERROR(INDEX(RAW!$A:$U,_xlfn.AGGREGATE(15,6,ROW(RAW!$G$2:$G$50)/(RAW!$G$2:$G$50&gt;0),ROWS(G$8:G29)),MATCH(G$6,RAW!$A$1:$U$1,0)),"")</f>
        <v/>
      </c>
      <c r="H29" s="22">
        <f t="array" ref="H29">IFERROR(INDEX(RAW!$A:$U,_xlfn.AGGREGATE(15,6,ROW(RAW!$G$2:$G$50)/(RAW!$G$2:$G$50&gt;0),ROWS(H$8:H29)),MATCH(H$6,RAW!$A$1:$U$1,0)),"")</f>
        <v/>
      </c>
    </row>
    <row r="30" ht="14.5" customHeight="1">
      <c r="A30" s="18">
        <f t="array" ref="A30">IFERROR(INDEX(RAW!$A:$U,_xlfn.AGGREGATE(15,6,ROW(RAW!$G$2:$G$50)/(RAW!$G$2:$G$50&gt;0),ROWS(A$8:A30)),MATCH(A$6,RAW!$A$1:$U$1,0)),"")</f>
        <v/>
      </c>
      <c r="B30" s="19">
        <f t="array" ref="B30">IFERROR(INDEX(RAW!$A:$U,_xlfn.AGGREGATE(15,6,ROW(RAW!$G$2:$G$50)/(RAW!$G$2:$G$50&gt;0),ROWS(B$8:B30)),MATCH(B$6,RAW!$A$1:$U$1,0)),"")</f>
        <v/>
      </c>
      <c r="C30" s="20">
        <f t="array" ref="C30">IFERROR(INDEX(RAW!$A:$U,_xlfn.AGGREGATE(15,6,ROW(RAW!$G$2:$G$50)/(RAW!$G$2:$G$50&gt;0),ROWS(C$8:C30)),MATCH(C$6,RAW!$A$1:$U$1,0)),"")</f>
        <v/>
      </c>
      <c r="D30" s="20">
        <f t="array" ref="D30">IFERROR(INDEX(RAW!$A:$U,_xlfn.AGGREGATE(15,6,ROW(RAW!$G$2:$G$50)/(RAW!$G$2:$G$50&gt;0),ROWS(D$8:D30)),MATCH(D$6,RAW!$A$1:$U$1,0)),"")</f>
        <v/>
      </c>
      <c r="E30" s="21">
        <f t="array" ref="E30">IFERROR(INDEX(RAW!$A:$U,_xlfn.AGGREGATE(15,6,ROW(RAW!$G$2:$G$50)/(RAW!$G$2:$G$50&gt;0),ROWS(E$8:E30)),MATCH(E$6,RAW!$A$1:$U$1,0)),"")</f>
        <v/>
      </c>
      <c r="F30" s="21">
        <f t="array" ref="F30">IFERROR(INDEX(RAW!$A:$U,_xlfn.AGGREGATE(15,6,ROW(RAW!$G$2:$G$50)/(RAW!$G$2:$G$50&gt;0),ROWS(F$8:F30)),MATCH(F$6,RAW!$A$1:$U$1,0)),"")</f>
        <v/>
      </c>
      <c r="G30" s="22">
        <f t="array" ref="G30">IFERROR(INDEX(RAW!$A:$U,_xlfn.AGGREGATE(15,6,ROW(RAW!$G$2:$G$50)/(RAW!$G$2:$G$50&gt;0),ROWS(G$8:G30)),MATCH(G$6,RAW!$A$1:$U$1,0)),"")</f>
        <v/>
      </c>
      <c r="H30" s="22">
        <f t="array" ref="H30">IFERROR(INDEX(RAW!$A:$U,_xlfn.AGGREGATE(15,6,ROW(RAW!$G$2:$G$50)/(RAW!$G$2:$G$50&gt;0),ROWS(H$8:H30)),MATCH(H$6,RAW!$A$1:$U$1,0)),"")</f>
        <v/>
      </c>
    </row>
    <row r="31" ht="14.5" customHeight="1">
      <c r="A31" s="18">
        <f t="array" ref="A31">IFERROR(INDEX(RAW!$A:$U,_xlfn.AGGREGATE(15,6,ROW(RAW!$G$2:$G$50)/(RAW!$G$2:$G$50&gt;0),ROWS(A$8:A31)),MATCH(A$6,RAW!$A$1:$U$1,0)),"")</f>
        <v/>
      </c>
      <c r="B31" s="19">
        <f t="array" ref="B31">IFERROR(INDEX(RAW!$A:$U,_xlfn.AGGREGATE(15,6,ROW(RAW!$G$2:$G$50)/(RAW!$G$2:$G$50&gt;0),ROWS(B$8:B31)),MATCH(B$6,RAW!$A$1:$U$1,0)),"")</f>
        <v/>
      </c>
      <c r="C31" s="20">
        <f t="array" ref="C31">IFERROR(INDEX(RAW!$A:$U,_xlfn.AGGREGATE(15,6,ROW(RAW!$G$2:$G$50)/(RAW!$G$2:$G$50&gt;0),ROWS(C$8:C31)),MATCH(C$6,RAW!$A$1:$U$1,0)),"")</f>
        <v/>
      </c>
      <c r="D31" s="20">
        <f t="array" ref="D31">IFERROR(INDEX(RAW!$A:$U,_xlfn.AGGREGATE(15,6,ROW(RAW!$G$2:$G$50)/(RAW!$G$2:$G$50&gt;0),ROWS(D$8:D31)),MATCH(D$6,RAW!$A$1:$U$1,0)),"")</f>
        <v/>
      </c>
      <c r="E31" s="21">
        <f t="array" ref="E31">IFERROR(INDEX(RAW!$A:$U,_xlfn.AGGREGATE(15,6,ROW(RAW!$G$2:$G$50)/(RAW!$G$2:$G$50&gt;0),ROWS(E$8:E31)),MATCH(E$6,RAW!$A$1:$U$1,0)),"")</f>
        <v/>
      </c>
      <c r="F31" s="21">
        <f t="array" ref="F31">IFERROR(INDEX(RAW!$A:$U,_xlfn.AGGREGATE(15,6,ROW(RAW!$G$2:$G$50)/(RAW!$G$2:$G$50&gt;0),ROWS(F$8:F31)),MATCH(F$6,RAW!$A$1:$U$1,0)),"")</f>
        <v/>
      </c>
      <c r="G31" s="22">
        <f t="array" ref="G31">IFERROR(INDEX(RAW!$A:$U,_xlfn.AGGREGATE(15,6,ROW(RAW!$G$2:$G$50)/(RAW!$G$2:$G$50&gt;0),ROWS(G$8:G31)),MATCH(G$6,RAW!$A$1:$U$1,0)),"")</f>
        <v/>
      </c>
      <c r="H31" s="22">
        <f t="array" ref="H31">IFERROR(INDEX(RAW!$A:$U,_xlfn.AGGREGATE(15,6,ROW(RAW!$G$2:$G$50)/(RAW!$G$2:$G$50&gt;0),ROWS(H$8:H31)),MATCH(H$6,RAW!$A$1:$U$1,0)),"")</f>
        <v/>
      </c>
    </row>
    <row r="32" ht="14.5" customHeight="1">
      <c r="A32" s="18">
        <f t="array" ref="A32">IFERROR(INDEX(RAW!$A:$U,_xlfn.AGGREGATE(15,6,ROW(RAW!$G$2:$G$50)/(RAW!$G$2:$G$50&gt;0),ROWS(A$8:A32)),MATCH(A$6,RAW!$A$1:$U$1,0)),"")</f>
        <v/>
      </c>
      <c r="B32" s="19">
        <f t="array" ref="B32">IFERROR(INDEX(RAW!$A:$U,_xlfn.AGGREGATE(15,6,ROW(RAW!$G$2:$G$50)/(RAW!$G$2:$G$50&gt;0),ROWS(B$8:B32)),MATCH(B$6,RAW!$A$1:$U$1,0)),"")</f>
        <v/>
      </c>
      <c r="C32" s="20">
        <f t="array" ref="C32">IFERROR(INDEX(RAW!$A:$U,_xlfn.AGGREGATE(15,6,ROW(RAW!$G$2:$G$50)/(RAW!$G$2:$G$50&gt;0),ROWS(C$8:C32)),MATCH(C$6,RAW!$A$1:$U$1,0)),"")</f>
        <v/>
      </c>
      <c r="D32" s="20">
        <f t="array" ref="D32">IFERROR(INDEX(RAW!$A:$U,_xlfn.AGGREGATE(15,6,ROW(RAW!$G$2:$G$50)/(RAW!$G$2:$G$50&gt;0),ROWS(D$8:D32)),MATCH(D$6,RAW!$A$1:$U$1,0)),"")</f>
        <v/>
      </c>
      <c r="E32" s="21">
        <f t="array" ref="E32">IFERROR(INDEX(RAW!$A:$U,_xlfn.AGGREGATE(15,6,ROW(RAW!$G$2:$G$50)/(RAW!$G$2:$G$50&gt;0),ROWS(E$8:E32)),MATCH(E$6,RAW!$A$1:$U$1,0)),"")</f>
        <v/>
      </c>
      <c r="F32" s="21">
        <f t="array" ref="F32">IFERROR(INDEX(RAW!$A:$U,_xlfn.AGGREGATE(15,6,ROW(RAW!$G$2:$G$50)/(RAW!$G$2:$G$50&gt;0),ROWS(F$8:F32)),MATCH(F$6,RAW!$A$1:$U$1,0)),"")</f>
        <v/>
      </c>
      <c r="G32" s="22">
        <f t="array" ref="G32">IFERROR(INDEX(RAW!$A:$U,_xlfn.AGGREGATE(15,6,ROW(RAW!$G$2:$G$50)/(RAW!$G$2:$G$50&gt;0),ROWS(G$8:G32)),MATCH(G$6,RAW!$A$1:$U$1,0)),"")</f>
        <v/>
      </c>
      <c r="H32" s="22">
        <f t="array" ref="H32">IFERROR(INDEX(RAW!$A:$U,_xlfn.AGGREGATE(15,6,ROW(RAW!$G$2:$G$50)/(RAW!$G$2:$G$50&gt;0),ROWS(H$8:H32)),MATCH(H$6,RAW!$A$1:$U$1,0)),"")</f>
        <v/>
      </c>
    </row>
    <row r="33" ht="14.5" customHeight="1">
      <c r="A33" s="18">
        <f t="array" ref="A33">IFERROR(INDEX(RAW!$A:$U,_xlfn.AGGREGATE(15,6,ROW(RAW!$G$2:$G$50)/(RAW!$G$2:$G$50&gt;0),ROWS(A$8:A33)),MATCH(A$6,RAW!$A$1:$U$1,0)),"")</f>
        <v/>
      </c>
      <c r="B33" s="19">
        <f t="array" ref="B33">IFERROR(INDEX(RAW!$A:$U,_xlfn.AGGREGATE(15,6,ROW(RAW!$G$2:$G$50)/(RAW!$G$2:$G$50&gt;0),ROWS(B$8:B33)),MATCH(B$6,RAW!$A$1:$U$1,0)),"")</f>
        <v/>
      </c>
      <c r="C33" s="20">
        <f t="array" ref="C33">IFERROR(INDEX(RAW!$A:$U,_xlfn.AGGREGATE(15,6,ROW(RAW!$G$2:$G$50)/(RAW!$G$2:$G$50&gt;0),ROWS(C$8:C33)),MATCH(C$6,RAW!$A$1:$U$1,0)),"")</f>
        <v/>
      </c>
      <c r="D33" s="20">
        <f t="array" ref="D33">IFERROR(INDEX(RAW!$A:$U,_xlfn.AGGREGATE(15,6,ROW(RAW!$G$2:$G$50)/(RAW!$G$2:$G$50&gt;0),ROWS(D$8:D33)),MATCH(D$6,RAW!$A$1:$U$1,0)),"")</f>
        <v/>
      </c>
      <c r="E33" s="21">
        <f t="array" ref="E33">IFERROR(INDEX(RAW!$A:$U,_xlfn.AGGREGATE(15,6,ROW(RAW!$G$2:$G$50)/(RAW!$G$2:$G$50&gt;0),ROWS(E$8:E33)),MATCH(E$6,RAW!$A$1:$U$1,0)),"")</f>
        <v/>
      </c>
      <c r="F33" s="21">
        <f t="array" ref="F33">IFERROR(INDEX(RAW!$A:$U,_xlfn.AGGREGATE(15,6,ROW(RAW!$G$2:$G$50)/(RAW!$G$2:$G$50&gt;0),ROWS(F$8:F33)),MATCH(F$6,RAW!$A$1:$U$1,0)),"")</f>
        <v/>
      </c>
      <c r="G33" s="22">
        <f t="array" ref="G33">IFERROR(INDEX(RAW!$A:$U,_xlfn.AGGREGATE(15,6,ROW(RAW!$G$2:$G$50)/(RAW!$G$2:$G$50&gt;0),ROWS(G$8:G33)),MATCH(G$6,RAW!$A$1:$U$1,0)),"")</f>
        <v/>
      </c>
      <c r="H33" s="22">
        <f t="array" ref="H33">IFERROR(INDEX(RAW!$A:$U,_xlfn.AGGREGATE(15,6,ROW(RAW!$G$2:$G$50)/(RAW!$G$2:$G$50&gt;0),ROWS(H$8:H33)),MATCH(H$6,RAW!$A$1:$U$1,0)),"")</f>
        <v/>
      </c>
    </row>
    <row r="34" ht="14.5" customHeight="1">
      <c r="A34" s="18">
        <f t="array" ref="A34">IFERROR(INDEX(RAW!$A:$U,_xlfn.AGGREGATE(15,6,ROW(RAW!$G$2:$G$50)/(RAW!$G$2:$G$50&gt;0),ROWS(A$8:A34)),MATCH(A$6,RAW!$A$1:$U$1,0)),"")</f>
        <v/>
      </c>
      <c r="B34" s="19">
        <f t="array" ref="B34">IFERROR(INDEX(RAW!$A:$U,_xlfn.AGGREGATE(15,6,ROW(RAW!$G$2:$G$50)/(RAW!$G$2:$G$50&gt;0),ROWS(B$8:B34)),MATCH(B$6,RAW!$A$1:$U$1,0)),"")</f>
        <v/>
      </c>
      <c r="C34" s="20">
        <f t="array" ref="C34">IFERROR(INDEX(RAW!$A:$U,_xlfn.AGGREGATE(15,6,ROW(RAW!$G$2:$G$50)/(RAW!$G$2:$G$50&gt;0),ROWS(C$8:C34)),MATCH(C$6,RAW!$A$1:$U$1,0)),"")</f>
        <v/>
      </c>
      <c r="D34" s="20">
        <f t="array" ref="D34">IFERROR(INDEX(RAW!$A:$U,_xlfn.AGGREGATE(15,6,ROW(RAW!$G$2:$G$50)/(RAW!$G$2:$G$50&gt;0),ROWS(D$8:D34)),MATCH(D$6,RAW!$A$1:$U$1,0)),"")</f>
        <v/>
      </c>
      <c r="E34" s="21">
        <f t="array" ref="E34">IFERROR(INDEX(RAW!$A:$U,_xlfn.AGGREGATE(15,6,ROW(RAW!$G$2:$G$50)/(RAW!$G$2:$G$50&gt;0),ROWS(E$8:E34)),MATCH(E$6,RAW!$A$1:$U$1,0)),"")</f>
        <v/>
      </c>
      <c r="F34" s="21">
        <f t="array" ref="F34">IFERROR(INDEX(RAW!$A:$U,_xlfn.AGGREGATE(15,6,ROW(RAW!$G$2:$G$50)/(RAW!$G$2:$G$50&gt;0),ROWS(F$8:F34)),MATCH(F$6,RAW!$A$1:$U$1,0)),"")</f>
        <v/>
      </c>
      <c r="G34" s="22">
        <f t="array" ref="G34">IFERROR(INDEX(RAW!$A:$U,_xlfn.AGGREGATE(15,6,ROW(RAW!$G$2:$G$50)/(RAW!$G$2:$G$50&gt;0),ROWS(G$8:G34)),MATCH(G$6,RAW!$A$1:$U$1,0)),"")</f>
        <v/>
      </c>
      <c r="H34" s="22">
        <f t="array" ref="H34">IFERROR(INDEX(RAW!$A:$U,_xlfn.AGGREGATE(15,6,ROW(RAW!$G$2:$G$50)/(RAW!$G$2:$G$50&gt;0),ROWS(H$8:H34)),MATCH(H$6,RAW!$A$1:$U$1,0)),"")</f>
        <v/>
      </c>
    </row>
    <row r="35" ht="14.5" customHeight="1">
      <c r="A35" s="18">
        <f t="array" ref="A35">IFERROR(INDEX(RAW!$A:$U,_xlfn.AGGREGATE(15,6,ROW(RAW!$G$2:$G$50)/(RAW!$G$2:$G$50&gt;0),ROWS(A$8:A35)),MATCH(A$6,RAW!$A$1:$U$1,0)),"")</f>
        <v/>
      </c>
      <c r="B35" s="19">
        <f t="array" ref="B35">IFERROR(INDEX(RAW!$A:$U,_xlfn.AGGREGATE(15,6,ROW(RAW!$G$2:$G$50)/(RAW!$G$2:$G$50&gt;0),ROWS(B$8:B35)),MATCH(B$6,RAW!$A$1:$U$1,0)),"")</f>
        <v/>
      </c>
      <c r="C35" s="20">
        <f t="array" ref="C35">IFERROR(INDEX(RAW!$A:$U,_xlfn.AGGREGATE(15,6,ROW(RAW!$G$2:$G$50)/(RAW!$G$2:$G$50&gt;0),ROWS(C$8:C35)),MATCH(C$6,RAW!$A$1:$U$1,0)),"")</f>
        <v/>
      </c>
      <c r="D35" s="20">
        <f t="array" ref="D35">IFERROR(INDEX(RAW!$A:$U,_xlfn.AGGREGATE(15,6,ROW(RAW!$G$2:$G$50)/(RAW!$G$2:$G$50&gt;0),ROWS(D$8:D35)),MATCH(D$6,RAW!$A$1:$U$1,0)),"")</f>
        <v/>
      </c>
      <c r="E35" s="21">
        <f t="array" ref="E35">IFERROR(INDEX(RAW!$A:$U,_xlfn.AGGREGATE(15,6,ROW(RAW!$G$2:$G$50)/(RAW!$G$2:$G$50&gt;0),ROWS(E$8:E35)),MATCH(E$6,RAW!$A$1:$U$1,0)),"")</f>
        <v/>
      </c>
      <c r="F35" s="21">
        <f t="array" ref="F35">IFERROR(INDEX(RAW!$A:$U,_xlfn.AGGREGATE(15,6,ROW(RAW!$G$2:$G$50)/(RAW!$G$2:$G$50&gt;0),ROWS(F$8:F35)),MATCH(F$6,RAW!$A$1:$U$1,0)),"")</f>
        <v/>
      </c>
      <c r="G35" s="22">
        <f t="array" ref="G35">IFERROR(INDEX(RAW!$A:$U,_xlfn.AGGREGATE(15,6,ROW(RAW!$G$2:$G$50)/(RAW!$G$2:$G$50&gt;0),ROWS(G$8:G35)),MATCH(G$6,RAW!$A$1:$U$1,0)),"")</f>
        <v/>
      </c>
      <c r="H35" s="22">
        <f t="array" ref="H35">IFERROR(INDEX(RAW!$A:$U,_xlfn.AGGREGATE(15,6,ROW(RAW!$G$2:$G$50)/(RAW!$G$2:$G$50&gt;0),ROWS(H$8:H35)),MATCH(H$6,RAW!$A$1:$U$1,0)),"")</f>
        <v/>
      </c>
    </row>
    <row r="36" ht="14.5" customHeight="1">
      <c r="A36" s="18">
        <f t="array" ref="A36">IFERROR(INDEX(RAW!$A:$U,_xlfn.AGGREGATE(15,6,ROW(RAW!$G$2:$G$50)/(RAW!$G$2:$G$50&gt;0),ROWS(A$8:A36)),MATCH(A$6,RAW!$A$1:$U$1,0)),"")</f>
        <v/>
      </c>
      <c r="B36" s="19">
        <f t="array" ref="B36">IFERROR(INDEX(RAW!$A:$U,_xlfn.AGGREGATE(15,6,ROW(RAW!$G$2:$G$50)/(RAW!$G$2:$G$50&gt;0),ROWS(B$8:B36)),MATCH(B$6,RAW!$A$1:$U$1,0)),"")</f>
        <v/>
      </c>
      <c r="C36" s="20">
        <f t="array" ref="C36">IFERROR(INDEX(RAW!$A:$U,_xlfn.AGGREGATE(15,6,ROW(RAW!$G$2:$G$50)/(RAW!$G$2:$G$50&gt;0),ROWS(C$8:C36)),MATCH(C$6,RAW!$A$1:$U$1,0)),"")</f>
        <v/>
      </c>
      <c r="D36" s="20">
        <f t="array" ref="D36">IFERROR(INDEX(RAW!$A:$U,_xlfn.AGGREGATE(15,6,ROW(RAW!$G$2:$G$50)/(RAW!$G$2:$G$50&gt;0),ROWS(D$8:D36)),MATCH(D$6,RAW!$A$1:$U$1,0)),"")</f>
        <v/>
      </c>
      <c r="E36" s="21">
        <f t="array" ref="E36">IFERROR(INDEX(RAW!$A:$U,_xlfn.AGGREGATE(15,6,ROW(RAW!$G$2:$G$50)/(RAW!$G$2:$G$50&gt;0),ROWS(E$8:E36)),MATCH(E$6,RAW!$A$1:$U$1,0)),"")</f>
        <v/>
      </c>
      <c r="F36" s="21">
        <f t="array" ref="F36">IFERROR(INDEX(RAW!$A:$U,_xlfn.AGGREGATE(15,6,ROW(RAW!$G$2:$G$50)/(RAW!$G$2:$G$50&gt;0),ROWS(F$8:F36)),MATCH(F$6,RAW!$A$1:$U$1,0)),"")</f>
        <v/>
      </c>
      <c r="G36" s="22">
        <f t="array" ref="G36">IFERROR(INDEX(RAW!$A:$U,_xlfn.AGGREGATE(15,6,ROW(RAW!$G$2:$G$50)/(RAW!$G$2:$G$50&gt;0),ROWS(G$8:G36)),MATCH(G$6,RAW!$A$1:$U$1,0)),"")</f>
        <v/>
      </c>
      <c r="H36" s="22">
        <f t="array" ref="H36">IFERROR(INDEX(RAW!$A:$U,_xlfn.AGGREGATE(15,6,ROW(RAW!$G$2:$G$50)/(RAW!$G$2:$G$50&gt;0),ROWS(H$8:H36)),MATCH(H$6,RAW!$A$1:$U$1,0)),"")</f>
        <v/>
      </c>
    </row>
    <row r="37" ht="14.5" customHeight="1">
      <c r="A37" s="18">
        <f t="array" ref="A37">IFERROR(INDEX(RAW!$A:$U,_xlfn.AGGREGATE(15,6,ROW(RAW!$G$2:$G$50)/(RAW!$G$2:$G$50&gt;0),ROWS(A$8:A37)),MATCH(A$6,RAW!$A$1:$U$1,0)),"")</f>
        <v/>
      </c>
      <c r="B37" s="19">
        <f t="array" ref="B37">IFERROR(INDEX(RAW!$A:$U,_xlfn.AGGREGATE(15,6,ROW(RAW!$G$2:$G$50)/(RAW!$G$2:$G$50&gt;0),ROWS(B$8:B37)),MATCH(B$6,RAW!$A$1:$U$1,0)),"")</f>
        <v/>
      </c>
      <c r="C37" s="20">
        <f t="array" ref="C37">IFERROR(INDEX(RAW!$A:$U,_xlfn.AGGREGATE(15,6,ROW(RAW!$G$2:$G$50)/(RAW!$G$2:$G$50&gt;0),ROWS(C$8:C37)),MATCH(C$6,RAW!$A$1:$U$1,0)),"")</f>
        <v/>
      </c>
      <c r="D37" s="20">
        <f t="array" ref="D37">IFERROR(INDEX(RAW!$A:$U,_xlfn.AGGREGATE(15,6,ROW(RAW!$G$2:$G$50)/(RAW!$G$2:$G$50&gt;0),ROWS(D$8:D37)),MATCH(D$6,RAW!$A$1:$U$1,0)),"")</f>
        <v/>
      </c>
      <c r="E37" s="21">
        <f t="array" ref="E37">IFERROR(INDEX(RAW!$A:$U,_xlfn.AGGREGATE(15,6,ROW(RAW!$G$2:$G$50)/(RAW!$G$2:$G$50&gt;0),ROWS(E$8:E37)),MATCH(E$6,RAW!$A$1:$U$1,0)),"")</f>
        <v/>
      </c>
      <c r="F37" s="21">
        <f t="array" ref="F37">IFERROR(INDEX(RAW!$A:$U,_xlfn.AGGREGATE(15,6,ROW(RAW!$G$2:$G$50)/(RAW!$G$2:$G$50&gt;0),ROWS(F$8:F37)),MATCH(F$6,RAW!$A$1:$U$1,0)),"")</f>
        <v/>
      </c>
      <c r="G37" s="22">
        <f t="array" ref="G37">IFERROR(INDEX(RAW!$A:$U,_xlfn.AGGREGATE(15,6,ROW(RAW!$G$2:$G$50)/(RAW!$G$2:$G$50&gt;0),ROWS(G$8:G37)),MATCH(G$6,RAW!$A$1:$U$1,0)),"")</f>
        <v/>
      </c>
      <c r="H37" s="22">
        <f t="array" ref="H37">IFERROR(INDEX(RAW!$A:$U,_xlfn.AGGREGATE(15,6,ROW(RAW!$G$2:$G$50)/(RAW!$G$2:$G$50&gt;0),ROWS(H$8:H37)),MATCH(H$6,RAW!$A$1:$U$1,0)),"")</f>
        <v/>
      </c>
    </row>
    <row r="38" ht="14.5" customHeight="1">
      <c r="A38" s="18">
        <f t="array" ref="A38">IFERROR(INDEX(RAW!$A:$U,_xlfn.AGGREGATE(15,6,ROW(RAW!$G$2:$G$50)/(RAW!$G$2:$G$50&gt;0),ROWS(A$8:A38)),MATCH(A$6,RAW!$A$1:$U$1,0)),"")</f>
        <v/>
      </c>
      <c r="B38" s="19">
        <f t="array" ref="B38">IFERROR(INDEX(RAW!$A:$U,_xlfn.AGGREGATE(15,6,ROW(RAW!$G$2:$G$50)/(RAW!$G$2:$G$50&gt;0),ROWS(B$8:B38)),MATCH(B$6,RAW!$A$1:$U$1,0)),"")</f>
        <v/>
      </c>
      <c r="C38" s="20">
        <f t="array" ref="C38">IFERROR(INDEX(RAW!$A:$U,_xlfn.AGGREGATE(15,6,ROW(RAW!$G$2:$G$50)/(RAW!$G$2:$G$50&gt;0),ROWS(C$8:C38)),MATCH(C$6,RAW!$A$1:$U$1,0)),"")</f>
        <v/>
      </c>
      <c r="D38" s="20">
        <f t="array" ref="D38">IFERROR(INDEX(RAW!$A:$U,_xlfn.AGGREGATE(15,6,ROW(RAW!$G$2:$G$50)/(RAW!$G$2:$G$50&gt;0),ROWS(D$8:D38)),MATCH(D$6,RAW!$A$1:$U$1,0)),"")</f>
        <v/>
      </c>
      <c r="E38" s="21">
        <f t="array" ref="E38">IFERROR(INDEX(RAW!$A:$U,_xlfn.AGGREGATE(15,6,ROW(RAW!$G$2:$G$50)/(RAW!$G$2:$G$50&gt;0),ROWS(E$8:E38)),MATCH(E$6,RAW!$A$1:$U$1,0)),"")</f>
        <v/>
      </c>
      <c r="F38" s="21">
        <f t="array" ref="F38">IFERROR(INDEX(RAW!$A:$U,_xlfn.AGGREGATE(15,6,ROW(RAW!$G$2:$G$50)/(RAW!$G$2:$G$50&gt;0),ROWS(F$8:F38)),MATCH(F$6,RAW!$A$1:$U$1,0)),"")</f>
        <v/>
      </c>
      <c r="G38" s="22">
        <f t="array" ref="G38">IFERROR(INDEX(RAW!$A:$U,_xlfn.AGGREGATE(15,6,ROW(RAW!$G$2:$G$50)/(RAW!$G$2:$G$50&gt;0),ROWS(G$8:G38)),MATCH(G$6,RAW!$A$1:$U$1,0)),"")</f>
        <v/>
      </c>
      <c r="H38" s="22">
        <f t="array" ref="H38">IFERROR(INDEX(RAW!$A:$U,_xlfn.AGGREGATE(15,6,ROW(RAW!$G$2:$G$50)/(RAW!$G$2:$G$50&gt;0),ROWS(H$8:H38)),MATCH(H$6,RAW!$A$1:$U$1,0)),"")</f>
        <v/>
      </c>
    </row>
    <row r="39" ht="14.5" customHeight="1">
      <c r="A39" s="18">
        <f t="array" ref="A39">IFERROR(INDEX(RAW!$A:$U,_xlfn.AGGREGATE(15,6,ROW(RAW!$G$2:$G$50)/(RAW!$G$2:$G$50&gt;0),ROWS(A$8:A39)),MATCH(A$6,RAW!$A$1:$U$1,0)),"")</f>
        <v/>
      </c>
      <c r="B39" s="19">
        <f t="array" ref="B39">IFERROR(INDEX(RAW!$A:$U,_xlfn.AGGREGATE(15,6,ROW(RAW!$G$2:$G$50)/(RAW!$G$2:$G$50&gt;0),ROWS(B$8:B39)),MATCH(B$6,RAW!$A$1:$U$1,0)),"")</f>
        <v/>
      </c>
      <c r="C39" s="20">
        <f t="array" ref="C39">IFERROR(INDEX(RAW!$A:$U,_xlfn.AGGREGATE(15,6,ROW(RAW!$G$2:$G$50)/(RAW!$G$2:$G$50&gt;0),ROWS(C$8:C39)),MATCH(C$6,RAW!$A$1:$U$1,0)),"")</f>
        <v/>
      </c>
      <c r="D39" s="20">
        <f t="array" ref="D39">IFERROR(INDEX(RAW!$A:$U,_xlfn.AGGREGATE(15,6,ROW(RAW!$G$2:$G$50)/(RAW!$G$2:$G$50&gt;0),ROWS(D$8:D39)),MATCH(D$6,RAW!$A$1:$U$1,0)),"")</f>
        <v/>
      </c>
      <c r="E39" s="21">
        <f t="array" ref="E39">IFERROR(INDEX(RAW!$A:$U,_xlfn.AGGREGATE(15,6,ROW(RAW!$G$2:$G$50)/(RAW!$G$2:$G$50&gt;0),ROWS(E$8:E39)),MATCH(E$6,RAW!$A$1:$U$1,0)),"")</f>
        <v/>
      </c>
      <c r="F39" s="21">
        <f t="array" ref="F39">IFERROR(INDEX(RAW!$A:$U,_xlfn.AGGREGATE(15,6,ROW(RAW!$G$2:$G$50)/(RAW!$G$2:$G$50&gt;0),ROWS(F$8:F39)),MATCH(F$6,RAW!$A$1:$U$1,0)),"")</f>
        <v/>
      </c>
      <c r="G39" s="22">
        <f t="array" ref="G39">IFERROR(INDEX(RAW!$A:$U,_xlfn.AGGREGATE(15,6,ROW(RAW!$G$2:$G$50)/(RAW!$G$2:$G$50&gt;0),ROWS(G$8:G39)),MATCH(G$6,RAW!$A$1:$U$1,0)),"")</f>
        <v/>
      </c>
      <c r="H39" s="22">
        <f t="array" ref="H39">IFERROR(INDEX(RAW!$A:$U,_xlfn.AGGREGATE(15,6,ROW(RAW!$G$2:$G$50)/(RAW!$G$2:$G$50&gt;0),ROWS(H$8:H39)),MATCH(H$6,RAW!$A$1:$U$1,0)),"")</f>
        <v/>
      </c>
    </row>
    <row r="40" ht="14.5" customHeight="1">
      <c r="A40" s="18">
        <f t="array" ref="A40">IFERROR(INDEX(RAW!$A:$U,_xlfn.AGGREGATE(15,6,ROW(RAW!$G$2:$G$50)/(RAW!$G$2:$G$50&gt;0),ROWS(A$8:A40)),MATCH(A$6,RAW!$A$1:$U$1,0)),"")</f>
        <v/>
      </c>
      <c r="B40" s="19">
        <f t="array" ref="B40">IFERROR(INDEX(RAW!$A:$U,_xlfn.AGGREGATE(15,6,ROW(RAW!$G$2:$G$50)/(RAW!$G$2:$G$50&gt;0),ROWS(B$8:B40)),MATCH(B$6,RAW!$A$1:$U$1,0)),"")</f>
        <v/>
      </c>
      <c r="C40" s="20">
        <f t="array" ref="C40">IFERROR(INDEX(RAW!$A:$U,_xlfn.AGGREGATE(15,6,ROW(RAW!$G$2:$G$50)/(RAW!$G$2:$G$50&gt;0),ROWS(C$8:C40)),MATCH(C$6,RAW!$A$1:$U$1,0)),"")</f>
        <v/>
      </c>
      <c r="D40" s="20">
        <f t="array" ref="D40">IFERROR(INDEX(RAW!$A:$U,_xlfn.AGGREGATE(15,6,ROW(RAW!$G$2:$G$50)/(RAW!$G$2:$G$50&gt;0),ROWS(D$8:D40)),MATCH(D$6,RAW!$A$1:$U$1,0)),"")</f>
        <v/>
      </c>
      <c r="E40" s="21">
        <f t="array" ref="E40">IFERROR(INDEX(RAW!$A:$U,_xlfn.AGGREGATE(15,6,ROW(RAW!$G$2:$G$50)/(RAW!$G$2:$G$50&gt;0),ROWS(E$8:E40)),MATCH(E$6,RAW!$A$1:$U$1,0)),"")</f>
        <v/>
      </c>
      <c r="F40" s="21">
        <f t="array" ref="F40">IFERROR(INDEX(RAW!$A:$U,_xlfn.AGGREGATE(15,6,ROW(RAW!$G$2:$G$50)/(RAW!$G$2:$G$50&gt;0),ROWS(F$8:F40)),MATCH(F$6,RAW!$A$1:$U$1,0)),"")</f>
        <v/>
      </c>
      <c r="G40" s="22">
        <f t="array" ref="G40">IFERROR(INDEX(RAW!$A:$U,_xlfn.AGGREGATE(15,6,ROW(RAW!$G$2:$G$50)/(RAW!$G$2:$G$50&gt;0),ROWS(G$8:G40)),MATCH(G$6,RAW!$A$1:$U$1,0)),"")</f>
        <v/>
      </c>
      <c r="H40" s="22">
        <f t="array" ref="H40">IFERROR(INDEX(RAW!$A:$U,_xlfn.AGGREGATE(15,6,ROW(RAW!$G$2:$G$50)/(RAW!$G$2:$G$50&gt;0),ROWS(H$8:H40)),MATCH(H$6,RAW!$A$1:$U$1,0)),"")</f>
        <v/>
      </c>
    </row>
    <row r="41" ht="14.5" customHeight="1">
      <c r="A41" s="18">
        <f t="array" ref="A41">IFERROR(INDEX(RAW!$A:$U,_xlfn.AGGREGATE(15,6,ROW(RAW!$G$2:$G$50)/(RAW!$G$2:$G$50&gt;0),ROWS(A$8:A41)),MATCH(A$6,RAW!$A$1:$U$1,0)),"")</f>
        <v/>
      </c>
      <c r="B41" s="19">
        <f t="array" ref="B41">IFERROR(INDEX(RAW!$A:$U,_xlfn.AGGREGATE(15,6,ROW(RAW!$G$2:$G$50)/(RAW!$G$2:$G$50&gt;0),ROWS(B$8:B41)),MATCH(B$6,RAW!$A$1:$U$1,0)),"")</f>
        <v/>
      </c>
      <c r="C41" s="20">
        <f t="array" ref="C41">IFERROR(INDEX(RAW!$A:$U,_xlfn.AGGREGATE(15,6,ROW(RAW!$G$2:$G$50)/(RAW!$G$2:$G$50&gt;0),ROWS(C$8:C41)),MATCH(C$6,RAW!$A$1:$U$1,0)),"")</f>
        <v/>
      </c>
      <c r="D41" s="20">
        <f t="array" ref="D41">IFERROR(INDEX(RAW!$A:$U,_xlfn.AGGREGATE(15,6,ROW(RAW!$G$2:$G$50)/(RAW!$G$2:$G$50&gt;0),ROWS(D$8:D41)),MATCH(D$6,RAW!$A$1:$U$1,0)),"")</f>
        <v/>
      </c>
      <c r="E41" s="21">
        <f t="array" ref="E41">IFERROR(INDEX(RAW!$A:$U,_xlfn.AGGREGATE(15,6,ROW(RAW!$G$2:$G$50)/(RAW!$G$2:$G$50&gt;0),ROWS(E$8:E41)),MATCH(E$6,RAW!$A$1:$U$1,0)),"")</f>
        <v/>
      </c>
      <c r="F41" s="21">
        <f t="array" ref="F41">IFERROR(INDEX(RAW!$A:$U,_xlfn.AGGREGATE(15,6,ROW(RAW!$G$2:$G$50)/(RAW!$G$2:$G$50&gt;0),ROWS(F$8:F41)),MATCH(F$6,RAW!$A$1:$U$1,0)),"")</f>
        <v/>
      </c>
      <c r="G41" s="22">
        <f t="array" ref="G41">IFERROR(INDEX(RAW!$A:$U,_xlfn.AGGREGATE(15,6,ROW(RAW!$G$2:$G$50)/(RAW!$G$2:$G$50&gt;0),ROWS(G$8:G41)),MATCH(G$6,RAW!$A$1:$U$1,0)),"")</f>
        <v/>
      </c>
      <c r="H41" s="22">
        <f t="array" ref="H41">IFERROR(INDEX(RAW!$A:$U,_xlfn.AGGREGATE(15,6,ROW(RAW!$G$2:$G$50)/(RAW!$G$2:$G$50&gt;0),ROWS(H$8:H41)),MATCH(H$6,RAW!$A$1:$U$1,0)),"")</f>
        <v/>
      </c>
    </row>
    <row r="42" ht="14.5" customHeight="1">
      <c r="A42" s="18">
        <f t="array" ref="A42">IFERROR(INDEX(RAW!$A:$U,_xlfn.AGGREGATE(15,6,ROW(RAW!$G$2:$G$50)/(RAW!$G$2:$G$50&gt;0),ROWS(A$8:A42)),MATCH(A$6,RAW!$A$1:$U$1,0)),"")</f>
        <v/>
      </c>
      <c r="B42" s="19">
        <f t="array" ref="B42">IFERROR(INDEX(RAW!$A:$U,_xlfn.AGGREGATE(15,6,ROW(RAW!$G$2:$G$50)/(RAW!$G$2:$G$50&gt;0),ROWS(B$8:B42)),MATCH(B$6,RAW!$A$1:$U$1,0)),"")</f>
        <v/>
      </c>
      <c r="C42" s="20">
        <f t="array" ref="C42">IFERROR(INDEX(RAW!$A:$U,_xlfn.AGGREGATE(15,6,ROW(RAW!$G$2:$G$50)/(RAW!$G$2:$G$50&gt;0),ROWS(C$8:C42)),MATCH(C$6,RAW!$A$1:$U$1,0)),"")</f>
        <v/>
      </c>
      <c r="D42" s="20">
        <f t="array" ref="D42">IFERROR(INDEX(RAW!$A:$U,_xlfn.AGGREGATE(15,6,ROW(RAW!$G$2:$G$50)/(RAW!$G$2:$G$50&gt;0),ROWS(D$8:D42)),MATCH(D$6,RAW!$A$1:$U$1,0)),"")</f>
        <v/>
      </c>
      <c r="E42" s="21">
        <f t="array" ref="E42">IFERROR(INDEX(RAW!$A:$U,_xlfn.AGGREGATE(15,6,ROW(RAW!$G$2:$G$50)/(RAW!$G$2:$G$50&gt;0),ROWS(E$8:E42)),MATCH(E$6,RAW!$A$1:$U$1,0)),"")</f>
        <v/>
      </c>
      <c r="F42" s="21">
        <f t="array" ref="F42">IFERROR(INDEX(RAW!$A:$U,_xlfn.AGGREGATE(15,6,ROW(RAW!$G$2:$G$50)/(RAW!$G$2:$G$50&gt;0),ROWS(F$8:F42)),MATCH(F$6,RAW!$A$1:$U$1,0)),"")</f>
        <v/>
      </c>
      <c r="G42" s="22">
        <f t="array" ref="G42">IFERROR(INDEX(RAW!$A:$U,_xlfn.AGGREGATE(15,6,ROW(RAW!$G$2:$G$50)/(RAW!$G$2:$G$50&gt;0),ROWS(G$8:G42)),MATCH(G$6,RAW!$A$1:$U$1,0)),"")</f>
        <v/>
      </c>
      <c r="H42" s="22">
        <f t="array" ref="H42">IFERROR(INDEX(RAW!$A:$U,_xlfn.AGGREGATE(15,6,ROW(RAW!$G$2:$G$50)/(RAW!$G$2:$G$50&gt;0),ROWS(H$8:H42)),MATCH(H$6,RAW!$A$1:$U$1,0)),"")</f>
        <v/>
      </c>
    </row>
    <row r="43" ht="14.5" customHeight="1">
      <c r="A43" s="18">
        <f t="array" ref="A43">IFERROR(INDEX(RAW!$A:$U,_xlfn.AGGREGATE(15,6,ROW(RAW!$G$2:$G$50)/(RAW!$G$2:$G$50&gt;0),ROWS(A$8:A43)),MATCH(A$6,RAW!$A$1:$U$1,0)),"")</f>
        <v/>
      </c>
      <c r="B43" s="19">
        <f t="array" ref="B43">IFERROR(INDEX(RAW!$A:$U,_xlfn.AGGREGATE(15,6,ROW(RAW!$G$2:$G$50)/(RAW!$G$2:$G$50&gt;0),ROWS(B$8:B43)),MATCH(B$6,RAW!$A$1:$U$1,0)),"")</f>
        <v/>
      </c>
      <c r="C43" s="20">
        <f t="array" ref="C43">IFERROR(INDEX(RAW!$A:$U,_xlfn.AGGREGATE(15,6,ROW(RAW!$G$2:$G$50)/(RAW!$G$2:$G$50&gt;0),ROWS(C$8:C43)),MATCH(C$6,RAW!$A$1:$U$1,0)),"")</f>
        <v/>
      </c>
      <c r="D43" s="20">
        <f t="array" ref="D43">IFERROR(INDEX(RAW!$A:$U,_xlfn.AGGREGATE(15,6,ROW(RAW!$G$2:$G$50)/(RAW!$G$2:$G$50&gt;0),ROWS(D$8:D43)),MATCH(D$6,RAW!$A$1:$U$1,0)),"")</f>
        <v/>
      </c>
      <c r="E43" s="21">
        <f t="array" ref="E43">IFERROR(INDEX(RAW!$A:$U,_xlfn.AGGREGATE(15,6,ROW(RAW!$G$2:$G$50)/(RAW!$G$2:$G$50&gt;0),ROWS(E$8:E43)),MATCH(E$6,RAW!$A$1:$U$1,0)),"")</f>
        <v/>
      </c>
      <c r="F43" s="21">
        <f t="array" ref="F43">IFERROR(INDEX(RAW!$A:$U,_xlfn.AGGREGATE(15,6,ROW(RAW!$G$2:$G$50)/(RAW!$G$2:$G$50&gt;0),ROWS(F$8:F43)),MATCH(F$6,RAW!$A$1:$U$1,0)),"")</f>
        <v/>
      </c>
      <c r="G43" s="22">
        <f t="array" ref="G43">IFERROR(INDEX(RAW!$A:$U,_xlfn.AGGREGATE(15,6,ROW(RAW!$G$2:$G$50)/(RAW!$G$2:$G$50&gt;0),ROWS(G$8:G43)),MATCH(G$6,RAW!$A$1:$U$1,0)),"")</f>
        <v/>
      </c>
      <c r="H43" s="22">
        <f t="array" ref="H43">IFERROR(INDEX(RAW!$A:$U,_xlfn.AGGREGATE(15,6,ROW(RAW!$G$2:$G$50)/(RAW!$G$2:$G$50&gt;0),ROWS(H$8:H43)),MATCH(H$6,RAW!$A$1:$U$1,0)),"")</f>
        <v/>
      </c>
    </row>
    <row r="44" ht="14.5" customHeight="1">
      <c r="A44" s="18">
        <f t="array" ref="A44">IFERROR(INDEX(RAW!$A:$U,_xlfn.AGGREGATE(15,6,ROW(RAW!$G$2:$G$50)/(RAW!$G$2:$G$50&gt;0),ROWS(A$8:A44)),MATCH(A$6,RAW!$A$1:$U$1,0)),"")</f>
        <v/>
      </c>
      <c r="B44" s="19">
        <f t="array" ref="B44">IFERROR(INDEX(RAW!$A:$U,_xlfn.AGGREGATE(15,6,ROW(RAW!$G$2:$G$50)/(RAW!$G$2:$G$50&gt;0),ROWS(B$8:B44)),MATCH(B$6,RAW!$A$1:$U$1,0)),"")</f>
        <v/>
      </c>
      <c r="C44" s="20">
        <f t="array" ref="C44">IFERROR(INDEX(RAW!$A:$U,_xlfn.AGGREGATE(15,6,ROW(RAW!$G$2:$G$50)/(RAW!$G$2:$G$50&gt;0),ROWS(C$8:C44)),MATCH(C$6,RAW!$A$1:$U$1,0)),"")</f>
        <v/>
      </c>
      <c r="D44" s="20">
        <f t="array" ref="D44">IFERROR(INDEX(RAW!$A:$U,_xlfn.AGGREGATE(15,6,ROW(RAW!$G$2:$G$50)/(RAW!$G$2:$G$50&gt;0),ROWS(D$8:D44)),MATCH(D$6,RAW!$A$1:$U$1,0)),"")</f>
        <v/>
      </c>
      <c r="E44" s="21">
        <f t="array" ref="E44">IFERROR(INDEX(RAW!$A:$U,_xlfn.AGGREGATE(15,6,ROW(RAW!$G$2:$G$50)/(RAW!$G$2:$G$50&gt;0),ROWS(E$8:E44)),MATCH(E$6,RAW!$A$1:$U$1,0)),"")</f>
        <v/>
      </c>
      <c r="F44" s="21">
        <f t="array" ref="F44">IFERROR(INDEX(RAW!$A:$U,_xlfn.AGGREGATE(15,6,ROW(RAW!$G$2:$G$50)/(RAW!$G$2:$G$50&gt;0),ROWS(F$8:F44)),MATCH(F$6,RAW!$A$1:$U$1,0)),"")</f>
        <v/>
      </c>
      <c r="G44" s="22">
        <f t="array" ref="G44">IFERROR(INDEX(RAW!$A:$U,_xlfn.AGGREGATE(15,6,ROW(RAW!$G$2:$G$50)/(RAW!$G$2:$G$50&gt;0),ROWS(G$8:G44)),MATCH(G$6,RAW!$A$1:$U$1,0)),"")</f>
        <v/>
      </c>
      <c r="H44" s="22">
        <f t="array" ref="H44">IFERROR(INDEX(RAW!$A:$U,_xlfn.AGGREGATE(15,6,ROW(RAW!$G$2:$G$50)/(RAW!$G$2:$G$50&gt;0),ROWS(H$8:H44)),MATCH(H$6,RAW!$A$1:$U$1,0)),"")</f>
        <v/>
      </c>
    </row>
    <row r="45" ht="14.5" customHeight="1">
      <c r="A45" s="18">
        <f t="array" ref="A45">IFERROR(INDEX(RAW!$A:$U,_xlfn.AGGREGATE(15,6,ROW(RAW!$G$2:$G$50)/(RAW!$G$2:$G$50&gt;0),ROWS(A$8:A45)),MATCH(A$6,RAW!$A$1:$U$1,0)),"")</f>
        <v/>
      </c>
      <c r="B45" s="19">
        <f t="array" ref="B45">IFERROR(INDEX(RAW!$A:$U,_xlfn.AGGREGATE(15,6,ROW(RAW!$G$2:$G$50)/(RAW!$G$2:$G$50&gt;0),ROWS(B$8:B45)),MATCH(B$6,RAW!$A$1:$U$1,0)),"")</f>
        <v/>
      </c>
      <c r="C45" s="20">
        <f t="array" ref="C45">IFERROR(INDEX(RAW!$A:$U,_xlfn.AGGREGATE(15,6,ROW(RAW!$G$2:$G$50)/(RAW!$G$2:$G$50&gt;0),ROWS(C$8:C45)),MATCH(C$6,RAW!$A$1:$U$1,0)),"")</f>
        <v/>
      </c>
      <c r="D45" s="20">
        <f t="array" ref="D45">IFERROR(INDEX(RAW!$A:$U,_xlfn.AGGREGATE(15,6,ROW(RAW!$G$2:$G$50)/(RAW!$G$2:$G$50&gt;0),ROWS(D$8:D45)),MATCH(D$6,RAW!$A$1:$U$1,0)),"")</f>
        <v/>
      </c>
      <c r="E45" s="21">
        <f t="array" ref="E45">IFERROR(INDEX(RAW!$A:$U,_xlfn.AGGREGATE(15,6,ROW(RAW!$G$2:$G$50)/(RAW!$G$2:$G$50&gt;0),ROWS(E$8:E45)),MATCH(E$6,RAW!$A$1:$U$1,0)),"")</f>
        <v/>
      </c>
      <c r="F45" s="21">
        <f t="array" ref="F45">IFERROR(INDEX(RAW!$A:$U,_xlfn.AGGREGATE(15,6,ROW(RAW!$G$2:$G$50)/(RAW!$G$2:$G$50&gt;0),ROWS(F$8:F45)),MATCH(F$6,RAW!$A$1:$U$1,0)),"")</f>
        <v/>
      </c>
      <c r="G45" s="22">
        <f t="array" ref="G45">IFERROR(INDEX(RAW!$A:$U,_xlfn.AGGREGATE(15,6,ROW(RAW!$G$2:$G$50)/(RAW!$G$2:$G$50&gt;0),ROWS(G$8:G45)),MATCH(G$6,RAW!$A$1:$U$1,0)),"")</f>
        <v/>
      </c>
      <c r="H45" s="22">
        <f t="array" ref="H45">IFERROR(INDEX(RAW!$A:$U,_xlfn.AGGREGATE(15,6,ROW(RAW!$G$2:$G$50)/(RAW!$G$2:$G$50&gt;0),ROWS(H$8:H45)),MATCH(H$6,RAW!$A$1:$U$1,0)),"")</f>
        <v/>
      </c>
    </row>
    <row r="46" ht="14.5" customHeight="1">
      <c r="A46" s="18">
        <f t="array" ref="A46">IFERROR(INDEX(RAW!$A:$U,_xlfn.AGGREGATE(15,6,ROW(RAW!$G$2:$G$50)/(RAW!$G$2:$G$50&gt;0),ROWS(A$8:A46)),MATCH(A$6,RAW!$A$1:$U$1,0)),"")</f>
        <v/>
      </c>
      <c r="B46" s="19">
        <f t="array" ref="B46">IFERROR(INDEX(RAW!$A:$U,_xlfn.AGGREGATE(15,6,ROW(RAW!$G$2:$G$50)/(RAW!$G$2:$G$50&gt;0),ROWS(B$8:B46)),MATCH(B$6,RAW!$A$1:$U$1,0)),"")</f>
        <v/>
      </c>
      <c r="C46" s="20">
        <f t="array" ref="C46">IFERROR(INDEX(RAW!$A:$U,_xlfn.AGGREGATE(15,6,ROW(RAW!$G$2:$G$50)/(RAW!$G$2:$G$50&gt;0),ROWS(C$8:C46)),MATCH(C$6,RAW!$A$1:$U$1,0)),"")</f>
        <v/>
      </c>
      <c r="D46" s="20">
        <f t="array" ref="D46">IFERROR(INDEX(RAW!$A:$U,_xlfn.AGGREGATE(15,6,ROW(RAW!$G$2:$G$50)/(RAW!$G$2:$G$50&gt;0),ROWS(D$8:D46)),MATCH(D$6,RAW!$A$1:$U$1,0)),"")</f>
        <v/>
      </c>
      <c r="E46" s="21">
        <f t="array" ref="E46">IFERROR(INDEX(RAW!$A:$U,_xlfn.AGGREGATE(15,6,ROW(RAW!$G$2:$G$50)/(RAW!$G$2:$G$50&gt;0),ROWS(E$8:E46)),MATCH(E$6,RAW!$A$1:$U$1,0)),"")</f>
        <v/>
      </c>
      <c r="F46" s="21">
        <f t="array" ref="F46">IFERROR(INDEX(RAW!$A:$U,_xlfn.AGGREGATE(15,6,ROW(RAW!$G$2:$G$50)/(RAW!$G$2:$G$50&gt;0),ROWS(F$8:F46)),MATCH(F$6,RAW!$A$1:$U$1,0)),"")</f>
        <v/>
      </c>
      <c r="G46" s="22">
        <f t="array" ref="G46">IFERROR(INDEX(RAW!$A:$U,_xlfn.AGGREGATE(15,6,ROW(RAW!$G$2:$G$50)/(RAW!$G$2:$G$50&gt;0),ROWS(G$8:G46)),MATCH(G$6,RAW!$A$1:$U$1,0)),"")</f>
        <v/>
      </c>
      <c r="H46" s="22">
        <f t="array" ref="H46">IFERROR(INDEX(RAW!$A:$U,_xlfn.AGGREGATE(15,6,ROW(RAW!$G$2:$G$50)/(RAW!$G$2:$G$50&gt;0),ROWS(H$8:H46)),MATCH(H$6,RAW!$A$1:$U$1,0)),"")</f>
        <v/>
      </c>
    </row>
    <row r="47" ht="14.5" customHeight="1">
      <c r="A47" s="18">
        <f t="array" ref="A47">IFERROR(INDEX(RAW!$A:$U,_xlfn.AGGREGATE(15,6,ROW(RAW!$G$2:$G$50)/(RAW!$G$2:$G$50&gt;0),ROWS(A$8:A47)),MATCH(A$6,RAW!$A$1:$U$1,0)),"")</f>
        <v/>
      </c>
      <c r="B47" s="19">
        <f t="array" ref="B47">IFERROR(INDEX(RAW!$A:$U,_xlfn.AGGREGATE(15,6,ROW(RAW!$G$2:$G$50)/(RAW!$G$2:$G$50&gt;0),ROWS(B$8:B47)),MATCH(B$6,RAW!$A$1:$U$1,0)),"")</f>
        <v/>
      </c>
      <c r="C47" s="20">
        <f t="array" ref="C47">IFERROR(INDEX(RAW!$A:$U,_xlfn.AGGREGATE(15,6,ROW(RAW!$G$2:$G$50)/(RAW!$G$2:$G$50&gt;0),ROWS(C$8:C47)),MATCH(C$6,RAW!$A$1:$U$1,0)),"")</f>
        <v/>
      </c>
      <c r="D47" s="20">
        <f t="array" ref="D47">IFERROR(INDEX(RAW!$A:$U,_xlfn.AGGREGATE(15,6,ROW(RAW!$G$2:$G$50)/(RAW!$G$2:$G$50&gt;0),ROWS(D$8:D47)),MATCH(D$6,RAW!$A$1:$U$1,0)),"")</f>
        <v/>
      </c>
      <c r="E47" s="21">
        <f t="array" ref="E47">IFERROR(INDEX(RAW!$A:$U,_xlfn.AGGREGATE(15,6,ROW(RAW!$G$2:$G$50)/(RAW!$G$2:$G$50&gt;0),ROWS(E$8:E47)),MATCH(E$6,RAW!$A$1:$U$1,0)),"")</f>
        <v/>
      </c>
      <c r="F47" s="21">
        <f t="array" ref="F47">IFERROR(INDEX(RAW!$A:$U,_xlfn.AGGREGATE(15,6,ROW(RAW!$G$2:$G$50)/(RAW!$G$2:$G$50&gt;0),ROWS(F$8:F47)),MATCH(F$6,RAW!$A$1:$U$1,0)),"")</f>
        <v/>
      </c>
      <c r="G47" s="22">
        <f t="array" ref="G47">IFERROR(INDEX(RAW!$A:$U,_xlfn.AGGREGATE(15,6,ROW(RAW!$G$2:$G$50)/(RAW!$G$2:$G$50&gt;0),ROWS(G$8:G47)),MATCH(G$6,RAW!$A$1:$U$1,0)),"")</f>
        <v/>
      </c>
      <c r="H47" s="22">
        <f t="array" ref="H47">IFERROR(INDEX(RAW!$A:$U,_xlfn.AGGREGATE(15,6,ROW(RAW!$G$2:$G$50)/(RAW!$G$2:$G$50&gt;0),ROWS(H$8:H47)),MATCH(H$6,RAW!$A$1:$U$1,0)),"")</f>
        <v/>
      </c>
    </row>
    <row r="48" ht="14.5" customHeight="1">
      <c r="A48" s="18">
        <f t="array" ref="A48">IFERROR(INDEX(RAW!$A:$U,_xlfn.AGGREGATE(15,6,ROW(RAW!$G$2:$G$50)/(RAW!$G$2:$G$50&gt;0),ROWS(A$8:A48)),MATCH(A$6,RAW!$A$1:$U$1,0)),"")</f>
        <v/>
      </c>
      <c r="B48" s="19">
        <f t="array" ref="B48">IFERROR(INDEX(RAW!$A:$U,_xlfn.AGGREGATE(15,6,ROW(RAW!$G$2:$G$50)/(RAW!$G$2:$G$50&gt;0),ROWS(B$8:B48)),MATCH(B$6,RAW!$A$1:$U$1,0)),"")</f>
        <v/>
      </c>
      <c r="C48" s="20">
        <f t="array" ref="C48">IFERROR(INDEX(RAW!$A:$U,_xlfn.AGGREGATE(15,6,ROW(RAW!$G$2:$G$50)/(RAW!$G$2:$G$50&gt;0),ROWS(C$8:C48)),MATCH(C$6,RAW!$A$1:$U$1,0)),"")</f>
        <v/>
      </c>
      <c r="D48" s="20">
        <f t="array" ref="D48">IFERROR(INDEX(RAW!$A:$U,_xlfn.AGGREGATE(15,6,ROW(RAW!$G$2:$G$50)/(RAW!$G$2:$G$50&gt;0),ROWS(D$8:D48)),MATCH(D$6,RAW!$A$1:$U$1,0)),"")</f>
        <v/>
      </c>
      <c r="E48" s="21">
        <f t="array" ref="E48">IFERROR(INDEX(RAW!$A:$U,_xlfn.AGGREGATE(15,6,ROW(RAW!$G$2:$G$50)/(RAW!$G$2:$G$50&gt;0),ROWS(E$8:E48)),MATCH(E$6,RAW!$A$1:$U$1,0)),"")</f>
        <v/>
      </c>
      <c r="F48" s="21">
        <f t="array" ref="F48">IFERROR(INDEX(RAW!$A:$U,_xlfn.AGGREGATE(15,6,ROW(RAW!$G$2:$G$50)/(RAW!$G$2:$G$50&gt;0),ROWS(F$8:F48)),MATCH(F$6,RAW!$A$1:$U$1,0)),"")</f>
        <v/>
      </c>
      <c r="G48" s="22">
        <f t="array" ref="G48">IFERROR(INDEX(RAW!$A:$U,_xlfn.AGGREGATE(15,6,ROW(RAW!$G$2:$G$50)/(RAW!$G$2:$G$50&gt;0),ROWS(G$8:G48)),MATCH(G$6,RAW!$A$1:$U$1,0)),"")</f>
        <v/>
      </c>
      <c r="H48" s="22">
        <f t="array" ref="H48">IFERROR(INDEX(RAW!$A:$U,_xlfn.AGGREGATE(15,6,ROW(RAW!$G$2:$G$50)/(RAW!$G$2:$G$50&gt;0),ROWS(H$8:H48)),MATCH(H$6,RAW!$A$1:$U$1,0)),"")</f>
        <v/>
      </c>
    </row>
    <row r="49" ht="14.5" customHeight="1">
      <c r="A49" s="18">
        <f t="array" ref="A49">IFERROR(INDEX(RAW!$A:$U,_xlfn.AGGREGATE(15,6,ROW(RAW!$G$2:$G$50)/(RAW!$G$2:$G$50&gt;0),ROWS(A$8:A49)),MATCH(A$6,RAW!$A$1:$U$1,0)),"")</f>
        <v/>
      </c>
      <c r="B49" s="19">
        <f t="array" ref="B49">IFERROR(INDEX(RAW!$A:$U,_xlfn.AGGREGATE(15,6,ROW(RAW!$G$2:$G$50)/(RAW!$G$2:$G$50&gt;0),ROWS(B$8:B49)),MATCH(B$6,RAW!$A$1:$U$1,0)),"")</f>
        <v/>
      </c>
      <c r="C49" s="20">
        <f t="array" ref="C49">IFERROR(INDEX(RAW!$A:$U,_xlfn.AGGREGATE(15,6,ROW(RAW!$G$2:$G$50)/(RAW!$G$2:$G$50&gt;0),ROWS(C$8:C49)),MATCH(C$6,RAW!$A$1:$U$1,0)),"")</f>
        <v/>
      </c>
      <c r="D49" s="20">
        <f t="array" ref="D49">IFERROR(INDEX(RAW!$A:$U,_xlfn.AGGREGATE(15,6,ROW(RAW!$G$2:$G$50)/(RAW!$G$2:$G$50&gt;0),ROWS(D$8:D49)),MATCH(D$6,RAW!$A$1:$U$1,0)),"")</f>
        <v/>
      </c>
      <c r="E49" s="21">
        <f t="array" ref="E49">IFERROR(INDEX(RAW!$A:$U,_xlfn.AGGREGATE(15,6,ROW(RAW!$G$2:$G$50)/(RAW!$G$2:$G$50&gt;0),ROWS(E$8:E49)),MATCH(E$6,RAW!$A$1:$U$1,0)),"")</f>
        <v/>
      </c>
      <c r="F49" s="21">
        <f t="array" ref="F49">IFERROR(INDEX(RAW!$A:$U,_xlfn.AGGREGATE(15,6,ROW(RAW!$G$2:$G$50)/(RAW!$G$2:$G$50&gt;0),ROWS(F$8:F49)),MATCH(F$6,RAW!$A$1:$U$1,0)),"")</f>
        <v/>
      </c>
      <c r="G49" s="22">
        <f t="array" ref="G49">IFERROR(INDEX(RAW!$A:$U,_xlfn.AGGREGATE(15,6,ROW(RAW!$G$2:$G$50)/(RAW!$G$2:$G$50&gt;0),ROWS(G$8:G49)),MATCH(G$6,RAW!$A$1:$U$1,0)),"")</f>
        <v/>
      </c>
      <c r="H49" s="22">
        <f t="array" ref="H49">IFERROR(INDEX(RAW!$A:$U,_xlfn.AGGREGATE(15,6,ROW(RAW!$G$2:$G$50)/(RAW!$G$2:$G$50&gt;0),ROWS(H$8:H49)),MATCH(H$6,RAW!$A$1:$U$1,0)),"")</f>
        <v/>
      </c>
    </row>
    <row r="50" ht="14.5" customHeight="1">
      <c r="A50" s="18">
        <f t="array" ref="A50">IFERROR(INDEX(RAW!$A:$U,_xlfn.AGGREGATE(15,6,ROW(RAW!$G$2:$G$50)/(RAW!$G$2:$G$50&gt;0),ROWS(A$8:A50)),MATCH(A$6,RAW!$A$1:$U$1,0)),"")</f>
        <v/>
      </c>
      <c r="B50" s="19">
        <f t="array" ref="B50">IFERROR(INDEX(RAW!$A:$U,_xlfn.AGGREGATE(15,6,ROW(RAW!$G$2:$G$50)/(RAW!$G$2:$G$50&gt;0),ROWS(B$8:B50)),MATCH(B$6,RAW!$A$1:$U$1,0)),"")</f>
        <v/>
      </c>
      <c r="C50" s="20">
        <f t="array" ref="C50">IFERROR(INDEX(RAW!$A:$U,_xlfn.AGGREGATE(15,6,ROW(RAW!$G$2:$G$50)/(RAW!$G$2:$G$50&gt;0),ROWS(C$8:C50)),MATCH(C$6,RAW!$A$1:$U$1,0)),"")</f>
        <v/>
      </c>
      <c r="D50" s="20">
        <f t="array" ref="D50">IFERROR(INDEX(RAW!$A:$U,_xlfn.AGGREGATE(15,6,ROW(RAW!$G$2:$G$50)/(RAW!$G$2:$G$50&gt;0),ROWS(D$8:D50)),MATCH(D$6,RAW!$A$1:$U$1,0)),"")</f>
        <v/>
      </c>
      <c r="E50" s="21">
        <f t="array" ref="E50">IFERROR(INDEX(RAW!$A:$U,_xlfn.AGGREGATE(15,6,ROW(RAW!$G$2:$G$50)/(RAW!$G$2:$G$50&gt;0),ROWS(E$8:E50)),MATCH(E$6,RAW!$A$1:$U$1,0)),"")</f>
        <v/>
      </c>
      <c r="F50" s="21">
        <f t="array" ref="F50">IFERROR(INDEX(RAW!$A:$U,_xlfn.AGGREGATE(15,6,ROW(RAW!$G$2:$G$50)/(RAW!$G$2:$G$50&gt;0),ROWS(F$8:F50)),MATCH(F$6,RAW!$A$1:$U$1,0)),"")</f>
        <v/>
      </c>
      <c r="G50" s="22">
        <f t="array" ref="G50">IFERROR(INDEX(RAW!$A:$U,_xlfn.AGGREGATE(15,6,ROW(RAW!$G$2:$G$50)/(RAW!$G$2:$G$50&gt;0),ROWS(G$8:G50)),MATCH(G$6,RAW!$A$1:$U$1,0)),"")</f>
        <v/>
      </c>
      <c r="H50" s="22">
        <f t="array" ref="H50">IFERROR(INDEX(RAW!$A:$U,_xlfn.AGGREGATE(15,6,ROW(RAW!$G$2:$G$50)/(RAW!$G$2:$G$50&gt;0),ROWS(H$8:H50)),MATCH(H$6,RAW!$A$1:$U$1,0)),"")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Arora Deepak JCP HOUNSLOW BA</dc:creator>
  <dcterms:created xsi:type="dcterms:W3CDTF">2021-07-13T11:11:00Z</dcterms:created>
  <dcterms:modified xsi:type="dcterms:W3CDTF">2026-03-23T10:25:43Z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F7DF22EC5B3348B8B2B2AF519238E1A9_13</vt:lpwstr>
  </property>
  <property name="KSOProductBuildVer" fmtid="{D5CDD505-2E9C-101B-9397-08002B2CF9AE}" pid="3">
    <vt:lpwstr>2052-12.1.0.16729</vt:lpwstr>
  </property>
</Properties>
</file>