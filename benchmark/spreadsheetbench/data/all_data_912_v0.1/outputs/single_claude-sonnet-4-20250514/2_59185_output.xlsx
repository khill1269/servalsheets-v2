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4" yWindow="1380" windowWidth="12348" windowHeight="10584" tabRatio="600" firstSheet="0" activeTab="0" autoFilterDateGrouping="1"/>
  </bookViews>
  <sheets>
    <sheet name="Sheet1" sheetId="1" state="visible" r:id="rId1"/>
  </sheets>
  <definedNames>
    <definedName name="Beans">Sheet1!$N$2:$N$20</definedName>
    <definedName name="_xlnm.Print_Area" localSheetId="0">'Sheet1'!$A$1:$L$22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color theme="1"/>
      <sz val="18"/>
      <scheme val="minor"/>
    </font>
    <font>
      <name val="等线"/>
      <charset val="134"/>
      <color theme="1"/>
      <sz val="16"/>
      <scheme val="minor"/>
    </font>
    <font>
      <name val="宋体"/>
      <charset val="134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rgb="FFF6BE98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ashDot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tc={2DFAE5E7-41E1-4F99-8D11-400402574949}</author>
  </authors>
  <commentList>
    <comment ref="N1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awesome!
Reply:
    I am changing the bean list right now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tabSelected="1" topLeftCell="A2" zoomScale="55" zoomScaleNormal="55" workbookViewId="0">
      <selection activeCell="O11" sqref="O11"/>
    </sheetView>
  </sheetViews>
  <sheetFormatPr baseColWidth="8" defaultColWidth="9" defaultRowHeight="13.8"/>
  <cols>
    <col width="12.6640625" customWidth="1" min="1" max="12"/>
    <col width="12.33203125" customWidth="1" min="14" max="14"/>
    <col width="12.33203125" customWidth="1" min="27" max="27"/>
  </cols>
  <sheetData>
    <row r="1" ht="36" customHeight="1">
      <c r="A1" t="inlineStr">
        <is>
          <t>Top is South</t>
        </is>
      </c>
      <c r="D1" s="32" t="inlineStr">
        <is>
          <t>Mill Inventory</t>
        </is>
      </c>
      <c r="J1" s="29" t="inlineStr">
        <is>
          <t>Date:</t>
        </is>
      </c>
    </row>
    <row r="2" ht="30" customHeight="1">
      <c r="A2" s="1" t="inlineStr">
        <is>
          <t>WBNB Splits</t>
        </is>
      </c>
      <c r="B2" s="1" t="inlineStr">
        <is>
          <t>GNB Splits</t>
        </is>
      </c>
      <c r="C2" s="1" t="n"/>
      <c r="D2" s="2" t="inlineStr">
        <is>
          <t>CBV/WBNB mix</t>
        </is>
      </c>
      <c r="E2" s="1" t="inlineStr">
        <is>
          <t>Pb</t>
        </is>
      </c>
      <c r="F2" s="3" t="inlineStr">
        <is>
          <t>PB/CBV mix</t>
        </is>
      </c>
      <c r="G2" s="1" t="inlineStr">
        <is>
          <t>GNB Splits</t>
        </is>
      </c>
      <c r="H2" s="1" t="inlineStr">
        <is>
          <t>KBD rerun</t>
        </is>
      </c>
      <c r="I2" s="1" t="inlineStr">
        <is>
          <t>Pb floor sweep</t>
        </is>
      </c>
      <c r="J2" s="2" t="inlineStr">
        <is>
          <t>WBNB</t>
        </is>
      </c>
      <c r="K2" s="2" t="inlineStr">
        <is>
          <t>WBNB</t>
        </is>
      </c>
      <c r="L2" s="1" t="inlineStr">
        <is>
          <t>BT</t>
        </is>
      </c>
      <c r="N2" t="inlineStr">
        <is>
          <t>WBNB</t>
        </is>
      </c>
      <c r="O2" t="n">
        <v>10522</v>
      </c>
    </row>
    <row r="3" ht="30" customHeight="1">
      <c r="A3" s="4" t="n">
        <v>2178</v>
      </c>
      <c r="B3" s="4" t="n">
        <v>1000</v>
      </c>
      <c r="C3" s="4" t="n">
        <v>1192</v>
      </c>
      <c r="D3" s="5" t="n">
        <v>4116</v>
      </c>
      <c r="E3" s="4" t="n">
        <v>1102</v>
      </c>
      <c r="F3" s="6" t="n">
        <v>2166</v>
      </c>
      <c r="G3" s="4" t="n">
        <v>592</v>
      </c>
      <c r="H3" s="4" t="n">
        <v>772</v>
      </c>
      <c r="I3" s="4" t="n">
        <v>2540</v>
      </c>
      <c r="J3" s="5" t="n">
        <v>1000</v>
      </c>
      <c r="K3" s="5" t="n">
        <v>4416</v>
      </c>
      <c r="L3" s="4" t="n">
        <v>1940</v>
      </c>
      <c r="N3" t="inlineStr">
        <is>
          <t>GNB</t>
        </is>
      </c>
      <c r="O3" t="n">
        <v>5206</v>
      </c>
    </row>
    <row r="4" ht="30" customHeight="1">
      <c r="A4" s="7" t="n"/>
      <c r="B4" s="7" t="n"/>
      <c r="C4" s="7" t="n"/>
      <c r="D4" s="8" t="inlineStr">
        <is>
          <t>QC HOLD</t>
        </is>
      </c>
      <c r="E4" s="7" t="n"/>
      <c r="F4" s="9" t="n"/>
      <c r="G4" s="7" t="inlineStr">
        <is>
          <t>GNB</t>
        </is>
      </c>
      <c r="H4" s="7" t="n"/>
      <c r="I4" s="7" t="n"/>
      <c r="J4" s="8" t="n"/>
      <c r="K4" s="8" t="n"/>
      <c r="L4" s="7" t="inlineStr">
        <is>
          <t>BT Splits</t>
        </is>
      </c>
      <c r="N4" t="inlineStr">
        <is>
          <t>Pb</t>
        </is>
      </c>
      <c r="O4" t="n">
        <v>3734</v>
      </c>
    </row>
    <row r="5" ht="30" customHeight="1">
      <c r="A5" s="10" t="n"/>
      <c r="B5" s="10" t="n"/>
      <c r="C5" s="10" t="n"/>
      <c r="D5" s="11" t="n"/>
      <c r="E5" s="10" t="n"/>
      <c r="F5" s="12" t="n"/>
      <c r="G5" s="10" t="n">
        <v>1428</v>
      </c>
      <c r="H5" s="10" t="n"/>
      <c r="I5" s="10" t="n"/>
      <c r="J5" s="11" t="n"/>
      <c r="K5" s="11" t="n"/>
      <c r="L5" s="10" t="n">
        <v>2456</v>
      </c>
      <c r="N5" t="inlineStr">
        <is>
          <t>PbSD</t>
        </is>
      </c>
      <c r="O5" t="n">
        <v>0</v>
      </c>
    </row>
    <row r="6" ht="30" customHeight="1">
      <c r="A6" s="1" t="inlineStr">
        <is>
          <t>WBNB Splits</t>
        </is>
      </c>
      <c r="B6" s="1" t="inlineStr">
        <is>
          <t>CBV Splits</t>
        </is>
      </c>
      <c r="C6" s="1" t="inlineStr">
        <is>
          <t>Pb Splits</t>
        </is>
      </c>
      <c r="D6" s="2" t="inlineStr">
        <is>
          <t>CBV/WBNB mix</t>
        </is>
      </c>
      <c r="E6" s="1" t="n"/>
      <c r="F6" s="3" t="inlineStr">
        <is>
          <t>PB/CBV</t>
        </is>
      </c>
      <c r="G6" s="1" t="inlineStr">
        <is>
          <t>GNB</t>
        </is>
      </c>
      <c r="H6" s="1" t="inlineStr">
        <is>
          <t>CBV eor</t>
        </is>
      </c>
      <c r="I6" s="1" t="inlineStr">
        <is>
          <t>Pb flush</t>
        </is>
      </c>
      <c r="J6" s="2" t="inlineStr">
        <is>
          <t>WBNB</t>
        </is>
      </c>
      <c r="K6" s="2" t="inlineStr">
        <is>
          <t>WBNB</t>
        </is>
      </c>
      <c r="L6" s="1" t="inlineStr">
        <is>
          <t>BT Splits</t>
        </is>
      </c>
      <c r="N6" t="inlineStr">
        <is>
          <t>CBV</t>
        </is>
      </c>
      <c r="O6" t="n">
        <v>1846</v>
      </c>
    </row>
    <row r="7" ht="30" customHeight="1">
      <c r="A7" s="4" t="n">
        <v>2246</v>
      </c>
      <c r="B7" s="4" t="n">
        <v>198</v>
      </c>
      <c r="C7" s="4" t="n">
        <v>1904</v>
      </c>
      <c r="D7" s="5" t="n">
        <v>2948</v>
      </c>
      <c r="E7" s="4" t="n"/>
      <c r="F7" s="6" t="n">
        <v>2008</v>
      </c>
      <c r="G7" s="4" t="n">
        <v>1572</v>
      </c>
      <c r="H7" s="4" t="n">
        <v>1390</v>
      </c>
      <c r="I7" s="4" t="n">
        <v>2342</v>
      </c>
      <c r="J7" s="5" t="n">
        <v>2000</v>
      </c>
      <c r="K7" s="5" t="n">
        <v>2000</v>
      </c>
      <c r="L7" s="4" t="n">
        <v>2092</v>
      </c>
      <c r="N7" t="inlineStr">
        <is>
          <t>KBD</t>
        </is>
      </c>
      <c r="O7" t="n">
        <v>218</v>
      </c>
    </row>
    <row r="8" ht="30" customHeight="1">
      <c r="A8" s="13" t="n"/>
      <c r="B8" s="13" t="inlineStr">
        <is>
          <t>CBV Splits</t>
        </is>
      </c>
      <c r="C8" s="13" t="n"/>
      <c r="D8" s="14" t="inlineStr">
        <is>
          <t>QC hold</t>
        </is>
      </c>
      <c r="E8" s="13" t="n"/>
      <c r="F8" s="15" t="n"/>
      <c r="G8" s="13" t="n"/>
      <c r="H8" s="13" t="n"/>
      <c r="I8" s="13" t="n"/>
      <c r="J8" s="14" t="n"/>
      <c r="K8" s="14" t="n"/>
      <c r="L8" s="13" t="n"/>
      <c r="N8" t="inlineStr">
        <is>
          <t>KBL</t>
        </is>
      </c>
      <c r="O8" t="n">
        <v>0</v>
      </c>
    </row>
    <row r="9" ht="30" customHeight="1">
      <c r="A9" s="16" t="n"/>
      <c r="B9" s="16" t="n">
        <v>2124</v>
      </c>
      <c r="C9" s="16" t="n"/>
      <c r="D9" s="17" t="n"/>
      <c r="E9" s="16" t="n"/>
      <c r="F9" s="18" t="n"/>
      <c r="G9" s="16" t="n"/>
      <c r="H9" s="16" t="n"/>
      <c r="I9" s="16" t="n"/>
      <c r="J9" s="17" t="n"/>
      <c r="K9" s="17" t="n"/>
      <c r="L9" s="16" t="n"/>
      <c r="N9" t="inlineStr">
        <is>
          <t>BT</t>
        </is>
      </c>
      <c r="O9" t="n">
        <v>1940</v>
      </c>
    </row>
    <row r="10" ht="30" customHeight="1">
      <c r="A10" s="19" t="inlineStr">
        <is>
          <t>WBNB Splits</t>
        </is>
      </c>
      <c r="B10" s="19" t="inlineStr">
        <is>
          <t>WBNB Splits</t>
        </is>
      </c>
      <c r="C10" s="19" t="inlineStr">
        <is>
          <t>Pb Splits</t>
        </is>
      </c>
      <c r="D10" s="19" t="n"/>
      <c r="E10" s="19" t="n"/>
      <c r="F10" s="20" t="inlineStr">
        <is>
          <t>GNB/PB</t>
        </is>
      </c>
      <c r="G10" s="19" t="n"/>
      <c r="H10" s="19" t="inlineStr">
        <is>
          <t>CBV</t>
        </is>
      </c>
      <c r="I10" s="19" t="inlineStr">
        <is>
          <t>Pb</t>
        </is>
      </c>
      <c r="J10" s="30" t="inlineStr">
        <is>
          <t>WBNB</t>
        </is>
      </c>
      <c r="K10" s="30" t="inlineStr">
        <is>
          <t>WBNB</t>
        </is>
      </c>
      <c r="L10" s="19" t="n"/>
      <c r="N10" t="inlineStr">
        <is>
          <t>WBNB Splits</t>
        </is>
      </c>
      <c r="O10" t="n">
        <v>13013</v>
      </c>
    </row>
    <row r="11" ht="30" customHeight="1">
      <c r="A11" s="21" t="n">
        <v>2206</v>
      </c>
      <c r="B11" s="21" t="n">
        <v>1820</v>
      </c>
      <c r="C11" s="21" t="n">
        <v>680</v>
      </c>
      <c r="D11" s="21" t="n"/>
      <c r="E11" s="21" t="n"/>
      <c r="F11" s="22" t="n">
        <v>1838</v>
      </c>
      <c r="G11" s="21" t="n"/>
      <c r="H11" s="21" t="n">
        <v>560</v>
      </c>
      <c r="I11" s="21" t="n">
        <v>2632</v>
      </c>
      <c r="J11" s="31" t="n"/>
      <c r="K11" s="31" t="n"/>
      <c r="L11" s="21" t="n"/>
      <c r="N11" t="inlineStr">
        <is>
          <t>GNB Splits</t>
        </is>
      </c>
      <c r="O11" t="n">
        <v>1592</v>
      </c>
    </row>
    <row r="12" ht="30" customHeight="1">
      <c r="A12" s="13" t="n"/>
      <c r="B12" s="13" t="inlineStr">
        <is>
          <t>WBNB Splits</t>
        </is>
      </c>
      <c r="C12" s="13" t="n"/>
      <c r="D12" s="13" t="n"/>
      <c r="E12" s="13" t="n"/>
      <c r="F12" s="15" t="n"/>
      <c r="G12" s="13" t="n"/>
      <c r="H12" s="13" t="inlineStr">
        <is>
          <t>Flush</t>
        </is>
      </c>
      <c r="I12" s="13" t="inlineStr">
        <is>
          <t>Flush</t>
        </is>
      </c>
      <c r="J12" s="14" t="n"/>
      <c r="K12" s="14" t="n"/>
      <c r="L12" s="13" t="n"/>
      <c r="N12" t="inlineStr">
        <is>
          <t>Pb Splits</t>
        </is>
      </c>
      <c r="O12" t="n">
        <v>4982</v>
      </c>
    </row>
    <row r="13" ht="30" customHeight="1">
      <c r="A13" s="16" t="n"/>
      <c r="B13" s="16" t="n">
        <v>2195</v>
      </c>
      <c r="C13" s="16" t="n"/>
      <c r="D13" s="16" t="n"/>
      <c r="E13" s="16" t="n"/>
      <c r="F13" s="18" t="n"/>
      <c r="G13" s="16" t="n"/>
      <c r="H13" s="16" t="n"/>
      <c r="I13" s="16" t="n"/>
      <c r="J13" s="17" t="n"/>
      <c r="K13" s="17" t="n"/>
      <c r="L13" s="16" t="n"/>
      <c r="N13" t="inlineStr">
        <is>
          <t>PbSD Splits</t>
        </is>
      </c>
      <c r="O13" t="n">
        <v>0</v>
      </c>
    </row>
    <row r="14" ht="30" customHeight="1">
      <c r="A14" s="19" t="inlineStr">
        <is>
          <t>WBNB Splits</t>
        </is>
      </c>
      <c r="B14" s="19" t="inlineStr">
        <is>
          <t>KBD Splits</t>
        </is>
      </c>
      <c r="C14" s="19" t="inlineStr">
        <is>
          <t>Pb Splits</t>
        </is>
      </c>
      <c r="D14" s="20" t="inlineStr">
        <is>
          <t>CBV/WBNB sp mix</t>
        </is>
      </c>
      <c r="E14" s="19" t="n"/>
      <c r="F14" s="19" t="inlineStr">
        <is>
          <t>KBD</t>
        </is>
      </c>
      <c r="G14" s="19" t="n"/>
      <c r="H14" s="19" t="inlineStr">
        <is>
          <t>GNB</t>
        </is>
      </c>
      <c r="I14" s="19" t="inlineStr">
        <is>
          <t>Pb Splits</t>
        </is>
      </c>
      <c r="J14" s="19" t="inlineStr">
        <is>
          <t>Pb EoR</t>
        </is>
      </c>
      <c r="K14" s="19" t="inlineStr">
        <is>
          <t>CBV flush</t>
        </is>
      </c>
      <c r="L14" s="19" t="n"/>
      <c r="N14" t="inlineStr">
        <is>
          <t>CBV Splits</t>
        </is>
      </c>
      <c r="O14" t="n">
        <v>2322</v>
      </c>
    </row>
    <row r="15" ht="30" customHeight="1">
      <c r="A15" s="23" t="n">
        <v>2368</v>
      </c>
      <c r="B15" s="23" t="n">
        <v>1560</v>
      </c>
      <c r="C15" s="23" t="n">
        <v>768</v>
      </c>
      <c r="D15" s="24" t="n">
        <v>252</v>
      </c>
      <c r="E15" s="23" t="n"/>
      <c r="F15" s="23" t="n">
        <v>218</v>
      </c>
      <c r="G15" s="23" t="n"/>
      <c r="H15" s="23" t="n">
        <v>2206</v>
      </c>
      <c r="I15" s="23" t="n">
        <v>1630</v>
      </c>
      <c r="J15" s="23" t="n">
        <v>2416</v>
      </c>
      <c r="K15" s="23" t="n">
        <v>336</v>
      </c>
      <c r="L15" s="23" t="n"/>
      <c r="N15" t="inlineStr">
        <is>
          <t>KBD Splits</t>
        </is>
      </c>
      <c r="O15" t="n">
        <v>1560</v>
      </c>
    </row>
    <row r="16" ht="30" customHeight="1">
      <c r="A16" s="25" t="n"/>
      <c r="B16" s="25" t="n"/>
      <c r="C16" s="25" t="n"/>
      <c r="D16" s="26" t="n"/>
      <c r="E16" s="25" t="n"/>
      <c r="F16" s="25" t="inlineStr">
        <is>
          <t>CBV</t>
        </is>
      </c>
      <c r="G16" s="25" t="n"/>
      <c r="H16" s="25" t="n"/>
      <c r="I16" s="25" t="n"/>
      <c r="J16" s="25" t="n"/>
      <c r="K16" s="25" t="n"/>
      <c r="L16" s="25" t="n"/>
      <c r="N16" t="inlineStr">
        <is>
          <t>KBL Splits</t>
        </is>
      </c>
      <c r="O16" t="n">
        <v>0</v>
      </c>
    </row>
    <row r="17" ht="30" customHeight="1">
      <c r="A17" s="16" t="n"/>
      <c r="B17" s="16" t="n"/>
      <c r="C17" s="16" t="n"/>
      <c r="D17" s="18" t="n"/>
      <c r="E17" s="16" t="n"/>
      <c r="F17" s="16" t="n">
        <v>1286</v>
      </c>
      <c r="G17" s="16" t="n"/>
      <c r="H17" s="16" t="n"/>
      <c r="I17" s="16" t="n"/>
      <c r="J17" s="16" t="n"/>
      <c r="K17" s="16" t="n"/>
      <c r="L17" s="16" t="n"/>
      <c r="N17" t="inlineStr">
        <is>
          <t>BT Splits</t>
        </is>
      </c>
      <c r="O17" t="n">
        <v>4548</v>
      </c>
    </row>
    <row r="18" ht="30" customHeight="1">
      <c r="A18" s="19" t="inlineStr">
        <is>
          <t>WBNB</t>
        </is>
      </c>
      <c r="B18" s="19" t="inlineStr">
        <is>
          <t>BT Splits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N18" t="inlineStr">
        <is>
          <t>Mixed beans</t>
        </is>
      </c>
      <c r="O18" t="n">
        <v>0</v>
      </c>
    </row>
    <row r="19" ht="30" customHeight="1">
      <c r="A19" s="21" t="n">
        <v>1106</v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N19" t="inlineStr">
        <is>
          <t>Mixed Splits</t>
        </is>
      </c>
      <c r="O19" t="n">
        <v>0</v>
      </c>
    </row>
    <row r="20" ht="30" customHeight="1">
      <c r="A20" s="13" t="inlineStr">
        <is>
          <t>Floor sweep</t>
        </is>
      </c>
      <c r="B20" s="27" t="inlineStr">
        <is>
          <t>unknown weight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O20">
        <f>SUM(O2:O19)</f>
        <v/>
      </c>
      <c r="P20" t="inlineStr">
        <is>
          <t>lbs</t>
        </is>
      </c>
    </row>
    <row r="21" ht="30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15" customHeight="1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</row>
    <row r="23" ht="15" customHeight="1"/>
    <row r="24" ht="15" customHeight="1"/>
    <row r="25" ht="39.9" customHeight="1"/>
    <row r="26" ht="39.9" customHeight="1"/>
    <row r="27" ht="39.9" customHeight="1"/>
    <row r="28" ht="39.9" customHeight="1"/>
    <row r="29" ht="39.9" customHeight="1"/>
    <row r="30" ht="39.9" customHeight="1"/>
    <row r="31" ht="39.9" customHeight="1"/>
    <row r="32" ht="39.9" customHeight="1"/>
    <row r="33" ht="39.9" customHeight="1"/>
    <row r="34" ht="39.9" customHeight="1"/>
  </sheetData>
  <mergeCells count="1">
    <mergeCell ref="D1:I1"/>
  </mergeCells>
  <dataValidations count="1">
    <dataValidation sqref="A2:L2 A4:L4 A6:L6 A10:L10 A12:L12 A14:L14 A16:L16 A18:L18" showDropDown="0" showInputMessage="1" showErrorMessage="1" allowBlank="1" type="list">
      <formula1>Beans</formula1>
    </dataValidation>
  </dataValidations>
  <pageMargins left="0.7" right="0.7" top="0.75" bottom="0.75" header="0.3" footer="0.3"/>
  <pageSetup orientation="landscape" scale="7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lunchroom</dc:creator>
  <dcterms:created xsi:type="dcterms:W3CDTF">2020-12-02T04:31:00Z</dcterms:created>
  <dcterms:modified xsi:type="dcterms:W3CDTF">2026-03-23T10:16:14Z</dcterms:modified>
  <cp:lastModifiedBy>则潼 王</cp:lastModifiedBy>
  <cp:lastPrinted>2020-12-02T23:30:00Z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0x01010028F958611D4AEA40B46D0E6C6FA0D267</vt:lpwstr>
  </property>
  <property name="ICV" fmtid="{D5CDD505-2E9C-101B-9397-08002B2CF9AE}" pid="3">
    <vt:lpwstr>871997BFCC2D4DA296CAA288BA609E83_12</vt:lpwstr>
  </property>
  <property name="KSOProductBuildVer" fmtid="{D5CDD505-2E9C-101B-9397-08002B2CF9AE}" pid="4">
    <vt:lpwstr>2052-12.1.0.16729</vt:lpwstr>
  </property>
</Properties>
</file>