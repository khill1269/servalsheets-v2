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Data" sheetId="1" state="visible" r:id="rId1"/>
  </sheets>
  <definedNames>
    <definedName name="_xlnm._FilterDatabase" localSheetId="0" hidden="1">'Data'!$C$13:$AV$42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[$-409]dd\-mmm\-yy;@"/>
  </numFmts>
  <fonts count="24">
    <font>
      <name val="等线"/>
      <charset val="134"/>
      <color theme="1"/>
      <sz val="11"/>
      <scheme val="minor"/>
    </font>
    <font>
      <name val="Arial"/>
      <charset val="134"/>
      <b val="1"/>
      <color theme="1"/>
      <sz val="10"/>
    </font>
    <font>
      <name val="Arial"/>
      <charset val="134"/>
      <color theme="1"/>
      <sz val="10"/>
    </font>
    <font>
      <name val="Arial"/>
      <charset val="134"/>
      <color theme="0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/>
    <xf numFmtId="44" fontId="4" fillId="0" borderId="0" applyAlignment="1">
      <alignment vertical="center"/>
    </xf>
    <xf numFmtId="9" fontId="4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8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9" borderId="6" applyAlignment="1">
      <alignment vertical="center"/>
    </xf>
    <xf numFmtId="0" fontId="14" fillId="10" borderId="7" applyAlignment="1">
      <alignment vertical="center"/>
    </xf>
    <xf numFmtId="0" fontId="15" fillId="10" borderId="6" applyAlignment="1">
      <alignment vertical="center"/>
    </xf>
    <xf numFmtId="0" fontId="16" fillId="11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3" fillId="36" borderId="0" applyAlignment="1">
      <alignment vertical="center"/>
    </xf>
    <xf numFmtId="0" fontId="23" fillId="37" borderId="0" applyAlignment="1">
      <alignment vertical="center"/>
    </xf>
    <xf numFmtId="0" fontId="22" fillId="38" borderId="0" applyAlignment="1">
      <alignment vertical="center"/>
    </xf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14" fontId="2" fillId="0" borderId="0" pivotButton="0" quotePrefix="0" xfId="0"/>
    <xf numFmtId="164" fontId="2" fillId="0" borderId="0" applyAlignment="1" pivotButton="0" quotePrefix="0" xfId="3">
      <alignment horizontal="center"/>
    </xf>
    <xf numFmtId="43" fontId="2" fillId="0" borderId="0" pivotButton="0" quotePrefix="0" xfId="1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14" fontId="1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3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0" borderId="1" applyAlignment="1" pivotButton="0" quotePrefix="0" xfId="3">
      <alignment horizontal="center"/>
    </xf>
    <xf numFmtId="164" fontId="2" fillId="0" borderId="1" applyAlignment="1" pivotButton="0" quotePrefix="0" xfId="3">
      <alignment horizontal="center"/>
    </xf>
    <xf numFmtId="43" fontId="1" fillId="3" borderId="2" pivotButton="0" quotePrefix="0" xfId="1"/>
    <xf numFmtId="43" fontId="2" fillId="3" borderId="2" pivotButton="0" quotePrefix="0" xfId="1"/>
    <xf numFmtId="0" fontId="2" fillId="3" borderId="2" pivotButton="0" quotePrefix="0" xfId="0"/>
    <xf numFmtId="14" fontId="2" fillId="0" borderId="0" pivotButton="0" quotePrefix="0" xfId="1"/>
    <xf numFmtId="17" fontId="2" fillId="0" borderId="1" applyAlignment="1" pivotButton="0" quotePrefix="0" xfId="1">
      <alignment horizontal="center"/>
    </xf>
    <xf numFmtId="43" fontId="3" fillId="4" borderId="0" applyAlignment="1" pivotButton="0" quotePrefix="0" xfId="1">
      <alignment horizontal="centerContinuous"/>
    </xf>
    <xf numFmtId="0" fontId="3" fillId="4" borderId="0" applyAlignment="1" pivotButton="0" quotePrefix="0" xfId="0">
      <alignment horizontal="centerContinuous"/>
    </xf>
    <xf numFmtId="0" fontId="1" fillId="3" borderId="1" applyAlignment="1" pivotButton="0" quotePrefix="0" xfId="0">
      <alignment horizontal="center" vertical="center"/>
    </xf>
    <xf numFmtId="43" fontId="1" fillId="3" borderId="1" applyAlignment="1" pivotButton="0" quotePrefix="0" xfId="1">
      <alignment horizontal="center" vertical="center"/>
    </xf>
    <xf numFmtId="43" fontId="2" fillId="0" borderId="1" pivotButton="0" quotePrefix="0" xfId="1"/>
    <xf numFmtId="0" fontId="1" fillId="5" borderId="2" pivotButton="0" quotePrefix="0" xfId="0"/>
    <xf numFmtId="0" fontId="1" fillId="6" borderId="1" applyAlignment="1" pivotButton="0" quotePrefix="0" xfId="0">
      <alignment horizontal="center" vertical="center"/>
    </xf>
    <xf numFmtId="43" fontId="1" fillId="5" borderId="1" applyAlignment="1" pivotButton="0" quotePrefix="0" xfId="1">
      <alignment horizontal="center" vertical="center"/>
    </xf>
    <xf numFmtId="43" fontId="2" fillId="0" borderId="1" pivotButton="0" quotePrefix="0" xfId="0"/>
    <xf numFmtId="43" fontId="2" fillId="7" borderId="1" pivotButton="0" quotePrefix="0" xfId="1"/>
    <xf numFmtId="43" fontId="2" fillId="0" borderId="1" pivotButton="0" quotePrefix="0" xfId="1"/>
    <xf numFmtId="43" fontId="1" fillId="5" borderId="2" pivotButton="0" quotePrefix="0" xfId="1"/>
    <xf numFmtId="164" fontId="2" fillId="0" borderId="0" pivotButton="0" quotePrefix="0" xfId="3"/>
    <xf numFmtId="10" fontId="2" fillId="0" borderId="0" pivotButton="0" quotePrefix="0" xfId="3"/>
    <xf numFmtId="0" fontId="1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14" fontId="1" fillId="0" borderId="0" applyAlignment="1" pivotButton="0" quotePrefix="0" xfId="0">
      <alignment horizontal="center" vertical="center"/>
    </xf>
    <xf numFmtId="164" fontId="2" fillId="0" borderId="0" applyAlignment="1" pivotButton="0" quotePrefix="0" xfId="3">
      <alignment horizontal="center"/>
    </xf>
    <xf numFmtId="43" fontId="2" fillId="0" borderId="0" pivotButton="0" quotePrefix="0" xfId="1"/>
    <xf numFmtId="43" fontId="1" fillId="3" borderId="2" pivotButton="0" quotePrefix="0" xfId="1"/>
    <xf numFmtId="43" fontId="2" fillId="3" borderId="2" pivotButton="0" quotePrefix="0" xfId="1"/>
    <xf numFmtId="43" fontId="1" fillId="5" borderId="2" pivotButton="0" quotePrefix="0" xfId="1"/>
    <xf numFmtId="43" fontId="3" fillId="4" borderId="0" applyAlignment="1" pivotButton="0" quotePrefix="0" xfId="1">
      <alignment horizontal="centerContinuous"/>
    </xf>
    <xf numFmtId="164" fontId="1" fillId="2" borderId="1" applyAlignment="1" pivotButton="0" quotePrefix="0" xfId="3">
      <alignment horizontal="center" vertical="center" wrapText="1"/>
    </xf>
    <xf numFmtId="43" fontId="1" fillId="3" borderId="1" applyAlignment="1" pivotButton="0" quotePrefix="0" xfId="1">
      <alignment horizontal="center" vertical="center"/>
    </xf>
    <xf numFmtId="43" fontId="1" fillId="5" borderId="1" applyAlignment="1" pivotButton="0" quotePrefix="0" xfId="1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43" fontId="2" fillId="0" borderId="1" pivotButton="0" quotePrefix="0" xfId="1"/>
    <xf numFmtId="43" fontId="2" fillId="0" borderId="1" pivotButton="0" quotePrefix="0" xfId="0"/>
    <xf numFmtId="43" fontId="2" fillId="7" borderId="1" pivotButton="0" quotePrefix="0" xfId="1"/>
    <xf numFmtId="164" fontId="2" fillId="0" borderId="0" pivotButton="0" quotePrefix="0" xfId="3"/>
    <xf numFmtId="164" fontId="2" fillId="0" borderId="1" applyAlignment="1" pivotButton="0" quotePrefix="0" xfId="3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9" tint="0.79998168889431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X49"/>
  <sheetViews>
    <sheetView tabSelected="1" zoomScale="55" zoomScaleNormal="55" workbookViewId="0">
      <selection activeCell="L15" sqref="L15"/>
    </sheetView>
  </sheetViews>
  <sheetFormatPr baseColWidth="8" defaultColWidth="9" defaultRowHeight="12.5"/>
  <cols>
    <col width="1.33333333333333" customWidth="1" style="2" min="1" max="2"/>
    <col hidden="1" width="21.2166666666667" customWidth="1" style="2" min="3" max="3"/>
    <col hidden="1" width="16.1083333333333" customWidth="1" style="2" min="4" max="4"/>
    <col hidden="1" width="31" customWidth="1" style="2" min="5" max="5"/>
    <col hidden="1" width="32.5583333333333" customWidth="1" style="2" min="6" max="8"/>
    <col width="17.8833333333333" customWidth="1" style="2" min="9" max="9"/>
    <col outlineLevel="1" width="15.775" customWidth="1" style="2" min="10" max="10"/>
    <col width="25.1083333333333" customWidth="1" style="3" min="11" max="11"/>
    <col width="18.5583333333333" customWidth="1" style="4" min="12" max="12"/>
    <col width="13.5583333333333" customWidth="1" style="43" min="13" max="16"/>
    <col outlineLevel="1" width="20.3333333333333" customWidth="1" style="44" min="17" max="17"/>
    <col outlineLevel="1" width="20.6666666666667" customWidth="1" style="44" min="18" max="18"/>
    <col outlineLevel="1" width="20" customWidth="1" style="44" min="19" max="19"/>
    <col outlineLevel="1" width="20.6666666666667" customWidth="1" style="44" min="20" max="20"/>
    <col outlineLevel="1" width="20" customWidth="1" style="44" min="21" max="21"/>
    <col outlineLevel="1" width="20.6666666666667" customWidth="1" style="44" min="22" max="22"/>
    <col outlineLevel="1" width="18.4416666666667" customWidth="1" style="44" min="23" max="23"/>
    <col outlineLevel="1" width="17.3333333333333" customWidth="1" style="2" min="24" max="24"/>
    <col outlineLevel="1" width="20.3333333333333" customWidth="1" style="2" min="25" max="28"/>
    <col outlineLevel="1" width="22" customWidth="1" style="2" min="29" max="29"/>
    <col width="19.5583333333333" customWidth="1" style="2" min="30" max="30"/>
    <col width="20.3333333333333" customWidth="1" style="2" min="31" max="32"/>
    <col width="20.6666666666667" customWidth="1" style="2" min="33" max="33"/>
    <col width="20.3333333333333" customWidth="1" style="2" min="34" max="35"/>
    <col width="20" customWidth="1" style="2" min="36" max="36"/>
    <col width="20.3333333333333" customWidth="1" style="44" min="37" max="41"/>
    <col width="22" customWidth="1" style="2" min="42" max="42"/>
    <col width="19.6666666666667" customWidth="1" style="2" min="43" max="43"/>
    <col width="8.883333333333329" customWidth="1" style="2" min="44" max="44"/>
    <col width="100.558333333333" customWidth="1" style="2" min="45" max="45"/>
    <col width="15.4416666666667" customWidth="1" style="2" min="46" max="46"/>
    <col width="8.883333333333329" customWidth="1" style="2" min="47" max="50"/>
    <col width="13.3333333333333" customWidth="1" style="2" min="51" max="51"/>
    <col width="8.883333333333329" customWidth="1" style="2" min="52" max="16384"/>
  </cols>
  <sheetData>
    <row r="1" ht="5.25" customHeight="1"/>
    <row r="2" ht="5.25" customHeight="1"/>
    <row r="3"/>
    <row r="4"/>
    <row r="5"/>
    <row r="6" ht="13" customHeight="1">
      <c r="I6" s="2" t="inlineStr">
        <is>
          <t>Annually</t>
        </is>
      </c>
      <c r="J6" s="2" t="n">
        <v>1</v>
      </c>
      <c r="Q6" s="45" t="inlineStr">
        <is>
          <t>Old Rates</t>
        </is>
      </c>
      <c r="R6" s="46" t="n"/>
      <c r="S6" s="46" t="n"/>
      <c r="T6" s="46" t="n"/>
      <c r="U6" s="46" t="n"/>
      <c r="V6" s="46" t="n"/>
      <c r="W6" s="46" t="n"/>
      <c r="X6" s="23" t="n"/>
      <c r="Y6" s="23" t="n"/>
      <c r="Z6" s="23" t="n"/>
      <c r="AA6" s="23" t="n"/>
      <c r="AB6" s="23" t="n"/>
      <c r="AD6" s="31" t="inlineStr">
        <is>
          <t>New Rates</t>
        </is>
      </c>
      <c r="AE6" s="31" t="n"/>
      <c r="AF6" s="31" t="n"/>
      <c r="AG6" s="31" t="n"/>
      <c r="AH6" s="31" t="n"/>
      <c r="AI6" s="31" t="n"/>
      <c r="AJ6" s="31" t="n"/>
      <c r="AK6" s="47" t="n"/>
      <c r="AL6" s="47" t="n"/>
      <c r="AM6" s="47" t="n"/>
      <c r="AN6" s="47" t="n"/>
      <c r="AO6" s="47" t="n"/>
      <c r="AP6" s="31" t="n"/>
    </row>
    <row r="7">
      <c r="I7" s="2" t="inlineStr">
        <is>
          <t>Semi-annually</t>
        </is>
      </c>
      <c r="J7" s="2" t="n">
        <v>6</v>
      </c>
    </row>
    <row r="8">
      <c r="I8" s="2" t="inlineStr">
        <is>
          <t>Quaterly</t>
        </is>
      </c>
      <c r="J8" s="2" t="n">
        <v>3</v>
      </c>
      <c r="AD8" s="2" t="n">
        <v>1</v>
      </c>
      <c r="AE8" s="2">
        <f>AD8+1</f>
        <v/>
      </c>
      <c r="AF8" s="2">
        <f>AE8+1</f>
        <v/>
      </c>
      <c r="AG8" s="2">
        <f>AF8+1</f>
        <v/>
      </c>
      <c r="AH8" s="2">
        <f>AG8+1</f>
        <v/>
      </c>
      <c r="AI8" s="2">
        <f>AH8+1</f>
        <v/>
      </c>
      <c r="AJ8" s="2">
        <f>AI8+1</f>
        <v/>
      </c>
      <c r="AK8" s="2">
        <f>AJ8+1</f>
        <v/>
      </c>
      <c r="AL8" s="2">
        <f>AK8+1</f>
        <v/>
      </c>
      <c r="AM8" s="2">
        <f>AL8+1</f>
        <v/>
      </c>
      <c r="AN8" s="2">
        <f>AM8+1</f>
        <v/>
      </c>
      <c r="AO8" s="2">
        <f>AN8+1</f>
        <v/>
      </c>
      <c r="BA8" s="2" t="n">
        <v>0</v>
      </c>
    </row>
    <row r="9">
      <c r="Q9" s="24" t="n">
        <v>44378</v>
      </c>
      <c r="R9" s="24">
        <f>DATE(YEAR(Q9),MONTH(Q9)+1,1)</f>
        <v/>
      </c>
      <c r="S9" s="24">
        <f>DATE(YEAR(R9),MONTH(R9)+1,1)</f>
        <v/>
      </c>
      <c r="T9" s="24">
        <f>DATE(YEAR(S9),MONTH(S9)+1,1)</f>
        <v/>
      </c>
      <c r="U9" s="24">
        <f>DATE(YEAR(T9),MONTH(T9)+1,1)</f>
        <v/>
      </c>
      <c r="V9" s="24">
        <f>DATE(YEAR(U9),MONTH(U9)+1,1)</f>
        <v/>
      </c>
      <c r="W9" s="24">
        <f>DATE(YEAR(V9),MONTH(V9)+1,1)</f>
        <v/>
      </c>
      <c r="X9" s="24">
        <f>DATE(YEAR(W9),MONTH(W9)+1,1)</f>
        <v/>
      </c>
      <c r="Y9" s="24">
        <f>DATE(YEAR(X9),MONTH(X9)+1,1)</f>
        <v/>
      </c>
      <c r="Z9" s="24">
        <f>DATE(YEAR(Y9),MONTH(Y9)+1,1)</f>
        <v/>
      </c>
      <c r="AA9" s="24">
        <f>DATE(YEAR(Z9),MONTH(Z9)+1,1)</f>
        <v/>
      </c>
      <c r="AB9" s="24">
        <f>DATE(YEAR(AA9),MONTH(AA9)+1,1)</f>
        <v/>
      </c>
      <c r="AD9" s="24">
        <f>DATE(YEAR(AB9),MONTH(AB9)+1,1)</f>
        <v/>
      </c>
      <c r="AE9" s="24">
        <f>DATE(YEAR(AD9),MONTH(AD9)+1,1)</f>
        <v/>
      </c>
      <c r="AF9" s="24">
        <f>DATE(YEAR(AE9),MONTH(AE9)+1,1)</f>
        <v/>
      </c>
      <c r="AG9" s="24">
        <f>DATE(YEAR(AF9),MONTH(AF9)+1,1)</f>
        <v/>
      </c>
      <c r="AH9" s="24">
        <f>DATE(YEAR(AG9),MONTH(AG9)+1,1)</f>
        <v/>
      </c>
      <c r="AI9" s="24">
        <f>DATE(YEAR(AH9),MONTH(AH9)+1,1)</f>
        <v/>
      </c>
      <c r="AJ9" s="24">
        <f>DATE(YEAR(AI9),MONTH(AI9)+1,1)</f>
        <v/>
      </c>
      <c r="AK9" s="24">
        <f>DATE(YEAR(AJ9),MONTH(AJ9)+1,1)</f>
        <v/>
      </c>
      <c r="AL9" s="24">
        <f>DATE(YEAR(AK9),MONTH(AK9)+1,1)</f>
        <v/>
      </c>
      <c r="AM9" s="24">
        <f>DATE(YEAR(AL9),MONTH(AL9)+1,1)</f>
        <v/>
      </c>
      <c r="AN9" s="24">
        <f>DATE(YEAR(AM9),MONTH(AM9)+1,1)</f>
        <v/>
      </c>
      <c r="AO9" s="24">
        <f>DATE(YEAR(AN9),MONTH(AN9)+1,1)</f>
        <v/>
      </c>
      <c r="BA9" s="4">
        <f>AD9</f>
        <v/>
      </c>
      <c r="BB9" s="4">
        <f>AE9</f>
        <v/>
      </c>
      <c r="BC9" s="4">
        <f>AF9</f>
        <v/>
      </c>
      <c r="BD9" s="4">
        <f>AG9</f>
        <v/>
      </c>
      <c r="BE9" s="4">
        <f>AH9</f>
        <v/>
      </c>
      <c r="BF9" s="4">
        <f>AI9</f>
        <v/>
      </c>
      <c r="BG9" s="4">
        <f>AJ9</f>
        <v/>
      </c>
      <c r="BH9" s="4">
        <f>AK9</f>
        <v/>
      </c>
      <c r="BI9" s="4">
        <f>AL9</f>
        <v/>
      </c>
      <c r="BJ9" s="4">
        <f>AM9</f>
        <v/>
      </c>
      <c r="BK9" s="4">
        <f>AN9</f>
        <v/>
      </c>
      <c r="BL9" s="4">
        <f>AO9</f>
        <v/>
      </c>
      <c r="BM9" s="4">
        <f>AP9</f>
        <v/>
      </c>
      <c r="BN9" s="4">
        <f>AQ9</f>
        <v/>
      </c>
      <c r="BO9" s="4">
        <f>AR9</f>
        <v/>
      </c>
      <c r="BP9" s="4">
        <f>AS9</f>
        <v/>
      </c>
      <c r="BQ9" s="4">
        <f>AT9</f>
        <v/>
      </c>
      <c r="BR9" s="4">
        <f>AU9</f>
        <v/>
      </c>
      <c r="BS9" s="4">
        <f>AV9</f>
        <v/>
      </c>
      <c r="BT9" s="4">
        <f>AW9</f>
        <v/>
      </c>
      <c r="BU9" s="4">
        <f>AX9</f>
        <v/>
      </c>
      <c r="BV9" s="4">
        <f>AY9</f>
        <v/>
      </c>
      <c r="BW9" s="4">
        <f>AZ9</f>
        <v/>
      </c>
      <c r="BX9" s="4">
        <f>BA9</f>
        <v/>
      </c>
    </row>
    <row r="10"/>
    <row r="11">
      <c r="Q11" s="25" t="inlineStr">
        <is>
          <t>Jul</t>
        </is>
      </c>
      <c r="R11" s="25" t="inlineStr">
        <is>
          <t>Aug</t>
        </is>
      </c>
      <c r="S11" s="25" t="inlineStr">
        <is>
          <t>Sep</t>
        </is>
      </c>
      <c r="T11" s="25" t="inlineStr">
        <is>
          <t>Oct</t>
        </is>
      </c>
      <c r="U11" s="25" t="inlineStr">
        <is>
          <t>Nov</t>
        </is>
      </c>
      <c r="V11" s="25" t="inlineStr">
        <is>
          <t>Dec</t>
        </is>
      </c>
      <c r="W11" s="25" t="inlineStr">
        <is>
          <t>Jan</t>
        </is>
      </c>
      <c r="X11" s="25" t="inlineStr">
        <is>
          <t>Feb</t>
        </is>
      </c>
      <c r="Y11" s="25" t="inlineStr">
        <is>
          <t>Mar</t>
        </is>
      </c>
      <c r="Z11" s="25" t="inlineStr">
        <is>
          <t>Apr</t>
        </is>
      </c>
      <c r="AA11" s="25" t="inlineStr">
        <is>
          <t>May</t>
        </is>
      </c>
      <c r="AB11" s="25" t="inlineStr">
        <is>
          <t>Jun</t>
        </is>
      </c>
      <c r="AC11" s="8" t="n"/>
      <c r="AD11" s="25" t="inlineStr">
        <is>
          <t>Jul</t>
        </is>
      </c>
      <c r="AE11" s="25" t="inlineStr">
        <is>
          <t>Aug</t>
        </is>
      </c>
      <c r="AF11" s="25" t="inlineStr">
        <is>
          <t>Sep</t>
        </is>
      </c>
      <c r="AG11" s="25" t="inlineStr">
        <is>
          <t>Oct</t>
        </is>
      </c>
      <c r="AH11" s="25" t="inlineStr">
        <is>
          <t>Nov</t>
        </is>
      </c>
      <c r="AI11" s="25" t="inlineStr">
        <is>
          <t>Dec</t>
        </is>
      </c>
      <c r="AJ11" s="25" t="inlineStr">
        <is>
          <t>Jan</t>
        </is>
      </c>
      <c r="AK11" s="25" t="inlineStr">
        <is>
          <t>Feb</t>
        </is>
      </c>
      <c r="AL11" s="25" t="inlineStr">
        <is>
          <t>Mar</t>
        </is>
      </c>
      <c r="AM11" s="25" t="inlineStr">
        <is>
          <t>Apr</t>
        </is>
      </c>
      <c r="AN11" s="25" t="inlineStr">
        <is>
          <t>May</t>
        </is>
      </c>
      <c r="AO11" s="25" t="inlineStr">
        <is>
          <t>Jun</t>
        </is>
      </c>
    </row>
    <row r="12" ht="13" customHeight="1">
      <c r="Q12" s="48" t="inlineStr">
        <is>
          <t>FY23</t>
        </is>
      </c>
      <c r="R12" s="48" t="n"/>
      <c r="S12" s="48" t="n"/>
      <c r="T12" s="48" t="n"/>
      <c r="U12" s="48" t="n"/>
      <c r="V12" s="48" t="n"/>
      <c r="W12" s="48" t="n"/>
      <c r="X12" s="27" t="n"/>
      <c r="Y12" s="27" t="n"/>
      <c r="Z12" s="27" t="n"/>
      <c r="AA12" s="27" t="n"/>
      <c r="AB12" s="27" t="n"/>
      <c r="AD12" s="48" t="inlineStr">
        <is>
          <t>FY23</t>
        </is>
      </c>
      <c r="AE12" s="48" t="n"/>
      <c r="AF12" s="48" t="n"/>
      <c r="AG12" s="48" t="n"/>
      <c r="AH12" s="48" t="n"/>
      <c r="AI12" s="48" t="n"/>
      <c r="AJ12" s="48" t="n"/>
      <c r="AK12" s="27" t="n"/>
      <c r="AL12" s="27" t="n"/>
      <c r="AM12" s="27" t="n"/>
      <c r="AN12" s="27" t="n"/>
      <c r="AO12" s="27" t="n"/>
      <c r="BA12" s="40" t="inlineStr">
        <is>
          <t>FY23</t>
        </is>
      </c>
      <c r="BB12" s="41" t="n"/>
      <c r="BC12" s="41" t="n"/>
      <c r="BD12" s="41" t="n"/>
      <c r="BE12" s="41" t="n"/>
      <c r="BF12" s="41" t="n"/>
      <c r="BG12" s="41" t="n"/>
      <c r="BH12" s="41" t="n"/>
      <c r="BI12" s="41" t="n"/>
      <c r="BJ12" s="41" t="n"/>
      <c r="BK12" s="41" t="n"/>
      <c r="BL12" s="41" t="n"/>
      <c r="BM12" s="40" t="inlineStr">
        <is>
          <t>Frequency</t>
        </is>
      </c>
      <c r="BN12" s="41" t="n"/>
      <c r="BO12" s="41" t="n"/>
      <c r="BP12" s="41" t="n"/>
      <c r="BQ12" s="41" t="n"/>
      <c r="BR12" s="41" t="n"/>
      <c r="BS12" s="41" t="n"/>
      <c r="BT12" s="41" t="n"/>
      <c r="BU12" s="41" t="n"/>
      <c r="BV12" s="41" t="n"/>
      <c r="BW12" s="41" t="n"/>
      <c r="BX12" s="41" t="n"/>
    </row>
    <row r="13" ht="26" customFormat="1" customHeight="1" s="1">
      <c r="C13" s="7" t="n"/>
      <c r="D13" s="7" t="n"/>
      <c r="E13" s="7" t="n"/>
      <c r="F13" s="7" t="n"/>
      <c r="G13" s="7" t="n"/>
      <c r="H13" s="7" t="n"/>
      <c r="I13" s="9" t="inlineStr">
        <is>
          <t>Frequency of increase</t>
        </is>
      </c>
      <c r="J13" s="7" t="inlineStr">
        <is>
          <t>Frequency</t>
        </is>
      </c>
      <c r="K13" s="7" t="inlineStr">
        <is>
          <t>Customer Approved</t>
        </is>
      </c>
      <c r="L13" s="10" t="inlineStr">
        <is>
          <t>Effective Date
(MM/DD/YY)</t>
        </is>
      </c>
      <c r="M13" s="49" t="inlineStr">
        <is>
          <t>1st price increase %</t>
        </is>
      </c>
      <c r="N13" s="49" t="inlineStr">
        <is>
          <t>2nd price increase %</t>
        </is>
      </c>
      <c r="O13" s="49" t="inlineStr">
        <is>
          <t>3rd price increase %</t>
        </is>
      </c>
      <c r="P13" s="49" t="inlineStr">
        <is>
          <t>4th price increase %</t>
        </is>
      </c>
      <c r="Q13" s="28" t="inlineStr">
        <is>
          <t>P01 Old rate</t>
        </is>
      </c>
      <c r="R13" s="28" t="inlineStr">
        <is>
          <t>P02 Old rate</t>
        </is>
      </c>
      <c r="S13" s="28" t="inlineStr">
        <is>
          <t>P03 Old rate</t>
        </is>
      </c>
      <c r="T13" s="28" t="inlineStr">
        <is>
          <t>P04 Old rate</t>
        </is>
      </c>
      <c r="U13" s="28" t="inlineStr">
        <is>
          <t>P05 Old rate</t>
        </is>
      </c>
      <c r="V13" s="50" t="inlineStr">
        <is>
          <t>P06 Old Rate</t>
        </is>
      </c>
      <c r="W13" s="50" t="inlineStr">
        <is>
          <t>P07 Old rate</t>
        </is>
      </c>
      <c r="X13" s="28" t="inlineStr">
        <is>
          <t>P08 Old Rate</t>
        </is>
      </c>
      <c r="Y13" s="28" t="inlineStr">
        <is>
          <t>P09 Old rate</t>
        </is>
      </c>
      <c r="Z13" s="28" t="inlineStr">
        <is>
          <t>P10 Old Rate</t>
        </is>
      </c>
      <c r="AA13" s="28" t="inlineStr">
        <is>
          <t>P11 Old rate</t>
        </is>
      </c>
      <c r="AB13" s="28" t="inlineStr">
        <is>
          <t>P12 Old Rate</t>
        </is>
      </c>
      <c r="AC13" s="32" t="inlineStr">
        <is>
          <t>Total</t>
        </is>
      </c>
      <c r="AD13" s="51" t="inlineStr">
        <is>
          <t>Q1 New</t>
        </is>
      </c>
      <c r="AE13" s="51" t="inlineStr">
        <is>
          <t>Q2 New</t>
        </is>
      </c>
      <c r="AF13" s="51" t="inlineStr">
        <is>
          <t>Q3 New</t>
        </is>
      </c>
      <c r="AG13" s="51" t="inlineStr">
        <is>
          <t>Q4 New</t>
        </is>
      </c>
      <c r="AH13" s="51" t="inlineStr">
        <is>
          <t>H1 New</t>
        </is>
      </c>
      <c r="AI13" s="51" t="inlineStr">
        <is>
          <t>H2 New</t>
        </is>
      </c>
      <c r="AJ13" s="51" t="inlineStr">
        <is>
          <t>Annual New</t>
        </is>
      </c>
      <c r="AK13" s="51" t="inlineStr">
        <is>
          <t>Custom 1</t>
        </is>
      </c>
      <c r="AL13" s="51" t="inlineStr">
        <is>
          <t>Custom 2</t>
        </is>
      </c>
      <c r="AM13" s="51" t="inlineStr">
        <is>
          <t>Custom 3</t>
        </is>
      </c>
      <c r="AN13" s="51" t="inlineStr">
        <is>
          <t>Custom 4</t>
        </is>
      </c>
      <c r="AO13" s="51" t="inlineStr">
        <is>
          <t>Custom 5</t>
        </is>
      </c>
      <c r="AP13" s="51" t="inlineStr">
        <is>
          <t>Total</t>
        </is>
      </c>
      <c r="AQ13" s="51" t="inlineStr">
        <is>
          <t>12 month Impact</t>
        </is>
      </c>
      <c r="AS13" s="7" t="inlineStr">
        <is>
          <t>Latest Comment</t>
        </is>
      </c>
      <c r="AY13" s="42">
        <f>L13</f>
        <v/>
      </c>
      <c r="AZ13" s="42">
        <f>M13</f>
        <v/>
      </c>
      <c r="BA13" s="1" t="inlineStr">
        <is>
          <t>P1</t>
        </is>
      </c>
      <c r="BB13" s="1" t="inlineStr">
        <is>
          <t>P2</t>
        </is>
      </c>
      <c r="BC13" s="1" t="inlineStr">
        <is>
          <t>P3</t>
        </is>
      </c>
      <c r="BD13" s="1" t="inlineStr">
        <is>
          <t>P4</t>
        </is>
      </c>
      <c r="BE13" s="1" t="inlineStr">
        <is>
          <t>P5</t>
        </is>
      </c>
      <c r="BF13" s="1" t="inlineStr">
        <is>
          <t>P6</t>
        </is>
      </c>
      <c r="BG13" s="1" t="inlineStr">
        <is>
          <t>P7</t>
        </is>
      </c>
      <c r="BH13" s="1" t="inlineStr">
        <is>
          <t>P8</t>
        </is>
      </c>
      <c r="BI13" s="1" t="inlineStr">
        <is>
          <t>P9</t>
        </is>
      </c>
      <c r="BJ13" s="1" t="inlineStr">
        <is>
          <t>P10</t>
        </is>
      </c>
      <c r="BK13" s="1" t="inlineStr">
        <is>
          <t>P11</t>
        </is>
      </c>
      <c r="BL13" s="1" t="inlineStr">
        <is>
          <t>P12</t>
        </is>
      </c>
      <c r="BM13" s="1" t="inlineStr">
        <is>
          <t>P1</t>
        </is>
      </c>
      <c r="BN13" s="1" t="inlineStr">
        <is>
          <t>P2</t>
        </is>
      </c>
      <c r="BO13" s="1" t="inlineStr">
        <is>
          <t>P3</t>
        </is>
      </c>
      <c r="BP13" s="1" t="inlineStr">
        <is>
          <t>P4</t>
        </is>
      </c>
      <c r="BQ13" s="1" t="inlineStr">
        <is>
          <t>P5</t>
        </is>
      </c>
      <c r="BR13" s="1" t="inlineStr">
        <is>
          <t>P6</t>
        </is>
      </c>
      <c r="BS13" s="1" t="inlineStr">
        <is>
          <t>P7</t>
        </is>
      </c>
      <c r="BT13" s="1" t="inlineStr">
        <is>
          <t>P8</t>
        </is>
      </c>
      <c r="BU13" s="1" t="inlineStr">
        <is>
          <t>P9</t>
        </is>
      </c>
      <c r="BV13" s="1" t="inlineStr">
        <is>
          <t>P10</t>
        </is>
      </c>
      <c r="BW13" s="1" t="inlineStr">
        <is>
          <t>P11</t>
        </is>
      </c>
      <c r="BX13" s="1" t="inlineStr">
        <is>
          <t>P12</t>
        </is>
      </c>
    </row>
    <row r="14">
      <c r="C14" s="8" t="n"/>
      <c r="D14" s="8" t="n"/>
      <c r="E14" s="8" t="n"/>
      <c r="F14" s="8" t="n"/>
      <c r="G14" s="8" t="n"/>
      <c r="H14" s="8" t="n"/>
      <c r="I14" s="12" t="inlineStr">
        <is>
          <t>Semi-annually</t>
        </is>
      </c>
      <c r="J14" s="12">
        <f>IFERROR(VLOOKUP(I14,$I$6:$J$8,2,FALSE),"Select freq")</f>
        <v/>
      </c>
      <c r="K14" s="16" t="inlineStr">
        <is>
          <t>Approved</t>
        </is>
      </c>
      <c r="L14" s="52" t="n">
        <v>44743</v>
      </c>
      <c r="M14" s="53" t="n">
        <v>0.097</v>
      </c>
      <c r="N14" s="53" t="n">
        <v>0.04</v>
      </c>
      <c r="O14" s="53" t="n"/>
      <c r="P14" s="53" t="n"/>
      <c r="Q14" s="54" t="n">
        <v>50317.2985764276</v>
      </c>
      <c r="R14" s="54" t="n">
        <v>58122.7925065551</v>
      </c>
      <c r="S14" s="54" t="n">
        <v>43035.8699635208</v>
      </c>
      <c r="T14" s="54" t="n">
        <v>62182.3268738104</v>
      </c>
      <c r="U14" s="54" t="n">
        <v>38155.3278578487</v>
      </c>
      <c r="V14" s="54" t="n">
        <v>50028.5406483855</v>
      </c>
      <c r="W14" s="54" t="n">
        <v>36044.1190348108</v>
      </c>
      <c r="X14" s="54" t="n">
        <v>36044.1190348108</v>
      </c>
      <c r="Y14" s="54" t="n">
        <v>54891.153115461</v>
      </c>
      <c r="Z14" s="54" t="n">
        <v>45055.1487935135</v>
      </c>
      <c r="AA14" s="54" t="n">
        <v>66080.8848971532</v>
      </c>
      <c r="AB14" s="54" t="n">
        <v>66080.8848971532</v>
      </c>
      <c r="AC14" s="55">
        <f>+SUM(Q14:AB14)</f>
        <v/>
      </c>
      <c r="AD14" s="56">
        <f>IF(ISNUMBER(Q14),Q14*(1+IF($I$5=1,0.1,IF($I$5=4,0.075,0.0875))),"")</f>
        <v/>
      </c>
      <c r="AE14" s="54">
        <f>IF(ISNUMBER(R14),R14*(1+IF($I$5=1,0.1,IF($I$5=4,0.075,0.0875))),"")</f>
        <v/>
      </c>
      <c r="AF14" s="54">
        <f>IF(ISNUMBER(S14),S14*(1+IF($I$5=1,0.1,IF($I$5=4,0.075,0.0875))),"")</f>
        <v/>
      </c>
      <c r="AG14" s="54">
        <f>IF(ISNUMBER(T14),T14*(1+IF($I$5=1,0.1,IF($I$5=4,0.075,0.0875))),"")</f>
        <v/>
      </c>
      <c r="AH14" s="54">
        <f>IF(ISNUMBER(U14),U14*(1+IF($I$5=1,0.1,IF($I$5=4,0.075,0.0875))),"")</f>
        <v/>
      </c>
      <c r="AI14" s="54">
        <f>IF(ISNUMBER(V14),V14*(1+IF($I$5=1,0.1,IF($I$5=4,0.075,0.0875))),"")</f>
        <v/>
      </c>
      <c r="AJ14" s="54">
        <f>IF(ISNUMBER(W14),W14*(1+IF($I$5=1,0.1,IF($I$5=4,0.075,0.0875))),"")</f>
        <v/>
      </c>
      <c r="AK14" s="54">
        <f>IF(ISNUMBER(X14),X14*(1+IF($I$5=1,0.1,IF($I$5=4,0.075,0.0875))),"")</f>
        <v/>
      </c>
      <c r="AL14" s="54">
        <f>IF(ISNUMBER(Y14),Y14*(1+IF($I$5=1,0.1,IF($I$5=4,0.075,0.0875))),"")</f>
        <v/>
      </c>
      <c r="AM14" s="54">
        <f>IF(ISNUMBER(Z14),Z14*(1+IF($I$5=1,0.1,IF($I$5=4,0.075,0.0875))),"")</f>
        <v/>
      </c>
      <c r="AN14" s="54">
        <f>IF(ISNUMBER(AA14),AA14*(1+IF($I$5=1,0.1,IF($I$5=4,0.075,0.0875))),"")</f>
        <v/>
      </c>
      <c r="AO14" s="54">
        <f>IF(ISNUMBER(AB14),AB14*(1+IF($I$5=1,0.1,IF($I$5=4,0.075,0.0875))),"")</f>
        <v/>
      </c>
      <c r="AP14" s="55">
        <f>+SUM(AD14:AO14)</f>
        <v/>
      </c>
      <c r="AQ14" s="55">
        <f>+AP14-AC14</f>
        <v/>
      </c>
      <c r="AR14" s="57">
        <f>+AQ14/AC14</f>
        <v/>
      </c>
      <c r="AS14" s="8" t="n"/>
      <c r="AY14" s="4">
        <f>L14</f>
        <v/>
      </c>
      <c r="AZ14" s="39">
        <f>M14</f>
        <v/>
      </c>
    </row>
    <row r="15">
      <c r="C15" s="8" t="n"/>
      <c r="D15" s="8" t="n"/>
      <c r="E15" s="8" t="n"/>
      <c r="F15" s="8" t="n"/>
      <c r="G15" s="8" t="n"/>
      <c r="H15" s="8" t="n"/>
      <c r="I15" s="12" t="inlineStr">
        <is>
          <t>Annually</t>
        </is>
      </c>
      <c r="J15" s="12">
        <f>IFERROR(VLOOKUP(I15,$I$6:$J$8,2,FALSE),"Select freq")</f>
        <v/>
      </c>
      <c r="K15" s="16" t="inlineStr">
        <is>
          <t>Approved</t>
        </is>
      </c>
      <c r="L15" s="52" t="n"/>
      <c r="M15" s="53" t="n">
        <v>0.097</v>
      </c>
      <c r="N15" s="53" t="n"/>
      <c r="O15" s="53" t="n"/>
      <c r="P15" s="53" t="n"/>
      <c r="Q15" s="54" t="n">
        <v>16444.2852293475</v>
      </c>
      <c r="R15" s="54" t="n">
        <v>81104.7968340941</v>
      </c>
      <c r="S15" s="54" t="n">
        <v>88230.3893939188</v>
      </c>
      <c r="T15" s="54" t="n">
        <v>46558.6085549486</v>
      </c>
      <c r="U15" s="54" t="n">
        <v>44863.2860992232</v>
      </c>
      <c r="V15" s="54" t="n">
        <v>58961.4190512167</v>
      </c>
      <c r="W15" s="54" t="n">
        <v>44509.8422499026</v>
      </c>
      <c r="X15" s="54" t="n">
        <v>44509.8422499026</v>
      </c>
      <c r="Y15" s="54" t="n">
        <v>67783.5006516549</v>
      </c>
      <c r="Z15" s="54" t="n">
        <v>55637.3028123783</v>
      </c>
      <c r="AA15" s="54" t="n">
        <v>81601.37745815489</v>
      </c>
      <c r="AB15" s="54" t="n">
        <v>81601.37745815489</v>
      </c>
      <c r="AC15" s="55">
        <f>+SUM(Q15:AB15)</f>
        <v/>
      </c>
      <c r="AD15" s="54">
        <f>IF(ISNUMBER(Q15),Q15*(1+IF($I$5=1,0.1,IF($I$5=4,0.075,0.0875))),"")</f>
        <v/>
      </c>
      <c r="AE15" s="54">
        <f>IF(ISNUMBER(R15),R15*(1+IF($I$5=1,0.1,IF($I$5=4,0.075,0.0875))),"")</f>
        <v/>
      </c>
      <c r="AF15" s="54">
        <f>IF(ISNUMBER(S15),S15*(1+IF($I$5=1,0.1,IF($I$5=4,0.075,0.0875))),"")</f>
        <v/>
      </c>
      <c r="AG15" s="54">
        <f>IF(ISNUMBER(T15),T15*(1+IF($I$5=1,0.1,IF($I$5=4,0.075,0.0875))),"")</f>
        <v/>
      </c>
      <c r="AH15" s="54">
        <f>IF(ISNUMBER(U15),U15*(1+IF($I$5=1,0.1,IF($I$5=4,0.075,0.0875))),"")</f>
        <v/>
      </c>
      <c r="AI15" s="54">
        <f>IF(ISNUMBER(V15),V15*(1+IF($I$5=1,0.1,IF($I$5=4,0.075,0.0875))),"")</f>
        <v/>
      </c>
      <c r="AJ15" s="54">
        <f>IF(ISNUMBER(W15),W15*(1+IF($I$5=1,0.1,IF($I$5=4,0.075,0.0875))),"")</f>
        <v/>
      </c>
      <c r="AK15" s="54">
        <f>IF(ISNUMBER(X15),X15*(1+IF($I$5=1,0.1,IF($I$5=4,0.075,0.0875))),"")</f>
        <v/>
      </c>
      <c r="AL15" s="54">
        <f>IF(ISNUMBER(Y15),Y15*(1+IF($I$5=1,0.1,IF($I$5=4,0.075,0.0875))),"")</f>
        <v/>
      </c>
      <c r="AM15" s="54">
        <f>IF(ISNUMBER(Z15),Z15*(1+IF($I$5=1,0.1,IF($I$5=4,0.075,0.0875))),"")</f>
        <v/>
      </c>
      <c r="AN15" s="54">
        <f>IF(ISNUMBER(AA15),AA15*(1+IF($I$5=1,0.1,IF($I$5=4,0.075,0.0875))),"")</f>
        <v/>
      </c>
      <c r="AO15" s="54">
        <f>IF(ISNUMBER(AB15),AB15*(1+IF($I$5=1,0.1,IF($I$5=4,0.075,0.0875))),"")</f>
        <v/>
      </c>
      <c r="AP15" s="55">
        <f>+SUM(AD15:AO15)</f>
        <v/>
      </c>
      <c r="AQ15" s="55">
        <f>+AP15-AC15</f>
        <v/>
      </c>
      <c r="AR15" s="57">
        <f>+AQ15/AC15</f>
        <v/>
      </c>
      <c r="AS15" s="8" t="n"/>
      <c r="AY15" s="4">
        <f>L15</f>
        <v/>
      </c>
      <c r="AZ15" s="39">
        <f>M15</f>
        <v/>
      </c>
    </row>
    <row r="16">
      <c r="C16" s="8" t="n"/>
      <c r="D16" s="8" t="n"/>
      <c r="E16" s="8" t="n"/>
      <c r="F16" s="8" t="n"/>
      <c r="G16" s="8" t="n"/>
      <c r="H16" s="8" t="n"/>
      <c r="I16" s="12" t="n"/>
      <c r="J16" s="12">
        <f>IFERROR(VLOOKUP(I16,$I$6:$J$8,2,FALSE),"Select freq")</f>
        <v/>
      </c>
      <c r="K16" s="16" t="n"/>
      <c r="L16" s="52" t="n"/>
      <c r="M16" s="53" t="n"/>
      <c r="N16" s="53" t="n"/>
      <c r="O16" s="53" t="n"/>
      <c r="P16" s="53" t="n"/>
      <c r="Q16" s="54" t="n">
        <v>0</v>
      </c>
      <c r="R16" s="54" t="n">
        <v>0</v>
      </c>
      <c r="S16" s="54" t="n">
        <v>0</v>
      </c>
      <c r="T16" s="54" t="n">
        <v>0</v>
      </c>
      <c r="U16" s="54" t="n">
        <v>0</v>
      </c>
      <c r="V16" s="54" t="n">
        <v>0</v>
      </c>
      <c r="W16" s="54" t="n">
        <v>0</v>
      </c>
      <c r="X16" s="54" t="n">
        <v>0</v>
      </c>
      <c r="Y16" s="54" t="n">
        <v>0</v>
      </c>
      <c r="Z16" s="54" t="n">
        <v>0</v>
      </c>
      <c r="AA16" s="54" t="n">
        <v>0</v>
      </c>
      <c r="AB16" s="54" t="n">
        <v>0</v>
      </c>
      <c r="AC16" s="55">
        <f>+SUM(Q16:AB16)</f>
        <v/>
      </c>
      <c r="AD16" s="54">
        <f>IF(ISNUMBER(Q16),Q16*(1+IF($I$5=1,0.1,IF($I$5=4,0.075,0.0875))),"")</f>
        <v/>
      </c>
      <c r="AE16" s="54">
        <f>IF(ISNUMBER(R16),R16*(1+IF($I$5=1,0.1,IF($I$5=4,0.075,0.0875))),"")</f>
        <v/>
      </c>
      <c r="AF16" s="54">
        <f>IF(ISNUMBER(S16),S16*(1+IF($I$5=1,0.1,IF($I$5=4,0.075,0.0875))),"")</f>
        <v/>
      </c>
      <c r="AG16" s="54">
        <f>IF(ISNUMBER(T16),T16*(1+IF($I$5=1,0.1,IF($I$5=4,0.075,0.0875))),"")</f>
        <v/>
      </c>
      <c r="AH16" s="54">
        <f>IF(ISNUMBER(U16),U16*(1+IF($I$5=1,0.1,IF($I$5=4,0.075,0.0875))),"")</f>
        <v/>
      </c>
      <c r="AI16" s="54">
        <f>IF(ISNUMBER(V16),V16*(1+IF($I$5=1,0.1,IF($I$5=4,0.075,0.0875))),"")</f>
        <v/>
      </c>
      <c r="AJ16" s="54">
        <f>IF(ISNUMBER(W16),W16*(1+IF($I$5=1,0.1,IF($I$5=4,0.075,0.0875))),"")</f>
        <v/>
      </c>
      <c r="AK16" s="54">
        <f>IF(ISNUMBER(X16),X16*(1+IF($I$5=1,0.1,IF($I$5=4,0.075,0.0875))),"")</f>
        <v/>
      </c>
      <c r="AL16" s="54">
        <f>IF(ISNUMBER(Y16),Y16*(1+IF($I$5=1,0.1,IF($I$5=4,0.075,0.0875))),"")</f>
        <v/>
      </c>
      <c r="AM16" s="54">
        <f>IF(ISNUMBER(Z16),Z16*(1+IF($I$5=1,0.1,IF($I$5=4,0.075,0.0875))),"")</f>
        <v/>
      </c>
      <c r="AN16" s="54">
        <f>IF(ISNUMBER(AA16),AA16*(1+IF($I$5=1,0.1,IF($I$5=4,0.075,0.0875))),"")</f>
        <v/>
      </c>
      <c r="AO16" s="54">
        <f>IF(ISNUMBER(AB16),AB16*(1+IF($I$5=1,0.1,IF($I$5=4,0.075,0.0875))),"")</f>
        <v/>
      </c>
      <c r="AP16" s="55">
        <f>+SUM(AD16:AO16)</f>
        <v/>
      </c>
      <c r="AQ16" s="55">
        <f>+AP16-AC16</f>
        <v/>
      </c>
      <c r="AR16" s="57" t="n"/>
      <c r="AS16" s="8" t="n"/>
      <c r="AY16" s="4">
        <f>L16</f>
        <v/>
      </c>
      <c r="AZ16" s="39">
        <f>M16</f>
        <v/>
      </c>
    </row>
    <row r="17">
      <c r="C17" s="8" t="n"/>
      <c r="D17" s="8" t="n"/>
      <c r="E17" s="8" t="n"/>
      <c r="F17" s="8" t="n"/>
      <c r="G17" s="8" t="n"/>
      <c r="H17" s="8" t="n"/>
      <c r="I17" s="12" t="inlineStr">
        <is>
          <t>Quaterly</t>
        </is>
      </c>
      <c r="J17" s="12">
        <f>IFERROR(VLOOKUP(I17,$I$6:$J$8,2,FALSE),"Select freq")</f>
        <v/>
      </c>
      <c r="K17" s="16" t="inlineStr">
        <is>
          <t>Approved</t>
        </is>
      </c>
      <c r="L17" s="52" t="n">
        <v>44805</v>
      </c>
      <c r="M17" s="53" t="n">
        <v>0.035</v>
      </c>
      <c r="N17" s="53" t="n">
        <v>0.035</v>
      </c>
      <c r="O17" s="53" t="n">
        <v>0.035</v>
      </c>
      <c r="P17" s="53" t="n">
        <v>0.035</v>
      </c>
      <c r="Q17" s="54" t="n">
        <v>105525.012</v>
      </c>
      <c r="R17" s="54" t="n">
        <v>291685.7865</v>
      </c>
      <c r="S17" s="54" t="n">
        <v>240792.596</v>
      </c>
      <c r="T17" s="54" t="n">
        <v>199618.630111406</v>
      </c>
      <c r="U17" s="54" t="n">
        <v>202009.418900558</v>
      </c>
      <c r="V17" s="54" t="n">
        <v>214859.408406976</v>
      </c>
      <c r="W17" s="54" t="n">
        <v>154800</v>
      </c>
      <c r="X17" s="54" t="n">
        <v>154800</v>
      </c>
      <c r="Y17" s="54" t="n">
        <v>235743.048514154</v>
      </c>
      <c r="Z17" s="54" t="n">
        <v>193500</v>
      </c>
      <c r="AA17" s="54" t="n">
        <v>283800</v>
      </c>
      <c r="AB17" s="54" t="n">
        <v>283800</v>
      </c>
      <c r="AC17" s="55">
        <f>+SUM(Q17:AB17)</f>
        <v/>
      </c>
      <c r="AD17" s="54">
        <f>IF(ISNUMBER(Q17),Q17*(1+IF($I$5=1,0.1,IF($I$5=4,0.075,0.0875))),"")</f>
        <v/>
      </c>
      <c r="AE17" s="54">
        <f>IF(ISNUMBER(R17),R17*(1+IF($I$5=1,0.1,IF($I$5=4,0.075,0.0875))),"")</f>
        <v/>
      </c>
      <c r="AF17" s="54">
        <f>IF(ISNUMBER(S17),S17*(1+IF($I$5=1,0.1,IF($I$5=4,0.075,0.0875))),"")</f>
        <v/>
      </c>
      <c r="AG17" s="54">
        <f>IF(ISNUMBER(T17),T17*(1+IF($I$5=1,0.1,IF($I$5=4,0.075,0.0875))),"")</f>
        <v/>
      </c>
      <c r="AH17" s="54">
        <f>IF(ISNUMBER(U17),U17*(1+IF($I$5=1,0.1,IF($I$5=4,0.075,0.0875))),"")</f>
        <v/>
      </c>
      <c r="AI17" s="54">
        <f>IF(ISNUMBER(V17),V17*(1+IF($I$5=1,0.1,IF($I$5=4,0.075,0.0875))),"")</f>
        <v/>
      </c>
      <c r="AJ17" s="54">
        <f>IF(ISNUMBER(W17),W17*(1+IF($I$5=1,0.1,IF($I$5=4,0.075,0.0875))),"")</f>
        <v/>
      </c>
      <c r="AK17" s="54">
        <f>IF(ISNUMBER(X17),X17*(1+IF($I$5=1,0.1,IF($I$5=4,0.075,0.0875))),"")</f>
        <v/>
      </c>
      <c r="AL17" s="54">
        <f>IF(ISNUMBER(Y17),Y17*(1+IF($I$5=1,0.1,IF($I$5=4,0.075,0.0875))),"")</f>
        <v/>
      </c>
      <c r="AM17" s="54">
        <f>IF(ISNUMBER(Z17),Z17*(1+IF($I$5=1,0.1,IF($I$5=4,0.075,0.0875))),"")</f>
        <v/>
      </c>
      <c r="AN17" s="54">
        <f>IF(ISNUMBER(AA17),AA17*(1+IF($I$5=1,0.1,IF($I$5=4,0.075,0.0875))),"")</f>
        <v/>
      </c>
      <c r="AO17" s="54">
        <f>IF(ISNUMBER(AB17),AB17*(1+IF($I$5=1,0.1,IF($I$5=4,0.075,0.0875))),"")</f>
        <v/>
      </c>
      <c r="AP17" s="55">
        <f>+SUM(AD17:AO17)</f>
        <v/>
      </c>
      <c r="AQ17" s="55">
        <f>+AP17-AC17</f>
        <v/>
      </c>
      <c r="AR17" s="57">
        <f>+AQ17/AC17</f>
        <v/>
      </c>
      <c r="AS17" s="8" t="n"/>
      <c r="AY17" s="4">
        <f>L17</f>
        <v/>
      </c>
      <c r="AZ17" s="39">
        <f>M17</f>
        <v/>
      </c>
    </row>
    <row r="18">
      <c r="C18" s="8" t="n"/>
      <c r="D18" s="8" t="n"/>
      <c r="E18" s="8" t="n"/>
      <c r="F18" s="8" t="n"/>
      <c r="G18" s="8" t="n"/>
      <c r="H18" s="8" t="n"/>
      <c r="I18" s="12" t="inlineStr">
        <is>
          <t>Annually</t>
        </is>
      </c>
      <c r="J18" s="12">
        <f>IFERROR(VLOOKUP(I18,$I$6:$J$8,2,FALSE),"Select freq")</f>
        <v/>
      </c>
      <c r="K18" s="16" t="inlineStr">
        <is>
          <t>Approved</t>
        </is>
      </c>
      <c r="L18" s="52" t="n">
        <v>44743</v>
      </c>
      <c r="M18" s="53" t="n">
        <v>0.097</v>
      </c>
      <c r="N18" s="53" t="n"/>
      <c r="O18" s="53" t="n"/>
      <c r="P18" s="53" t="n"/>
      <c r="Q18" s="54" t="n">
        <v>89121.7236950723</v>
      </c>
      <c r="R18" s="54" t="n">
        <v>96742.0368048284</v>
      </c>
      <c r="S18" s="54" t="n">
        <v>169035.768</v>
      </c>
      <c r="T18" s="54" t="n">
        <v>134218.18414184</v>
      </c>
      <c r="U18" s="54" t="n">
        <v>89540.4939922121</v>
      </c>
      <c r="V18" s="54" t="n">
        <v>137909.75981471</v>
      </c>
      <c r="W18" s="54" t="n">
        <v>104129.075409602</v>
      </c>
      <c r="X18" s="54" t="n">
        <v>104129.075409602</v>
      </c>
      <c r="Y18" s="54" t="n">
        <v>158576.910051809</v>
      </c>
      <c r="Z18" s="54" t="n">
        <v>130161.344262003</v>
      </c>
      <c r="AA18" s="54" t="n">
        <v>190903.304917604</v>
      </c>
      <c r="AB18" s="54" t="n">
        <v>190903.304917604</v>
      </c>
      <c r="AC18" s="55">
        <f>+SUM(Q18:AB18)</f>
        <v/>
      </c>
      <c r="AD18" s="54">
        <f>IF(ISNUMBER(Q18),Q18*(1+IF($I$5=1,0.1,IF($I$5=4,0.075,0.0875))),"")</f>
        <v/>
      </c>
      <c r="AE18" s="54">
        <f>IF(ISNUMBER(R18),R18*(1+IF($I$5=1,0.1,IF($I$5=4,0.075,0.0875))),"")</f>
        <v/>
      </c>
      <c r="AF18" s="54">
        <f>IF(ISNUMBER(S18),S18*(1+IF($I$5=1,0.1,IF($I$5=4,0.075,0.0875))),"")</f>
        <v/>
      </c>
      <c r="AG18" s="54">
        <f>IF(ISNUMBER(T18),T18*(1+IF($I$5=1,0.1,IF($I$5=4,0.075,0.0875))),"")</f>
        <v/>
      </c>
      <c r="AH18" s="54">
        <f>IF(ISNUMBER(U18),U18*(1+IF($I$5=1,0.1,IF($I$5=4,0.075,0.0875))),"")</f>
        <v/>
      </c>
      <c r="AI18" s="54">
        <f>IF(ISNUMBER(V18),V18*(1+IF($I$5=1,0.1,IF($I$5=4,0.075,0.0875))),"")</f>
        <v/>
      </c>
      <c r="AJ18" s="54">
        <f>IF(ISNUMBER(W18),W18*(1+IF($I$5=1,0.1,IF($I$5=4,0.075,0.0875))),"")</f>
        <v/>
      </c>
      <c r="AK18" s="54">
        <f>IF(ISNUMBER(X18),X18*(1+IF($I$5=1,0.1,IF($I$5=4,0.075,0.0875))),"")</f>
        <v/>
      </c>
      <c r="AL18" s="54">
        <f>IF(ISNUMBER(Y18),Y18*(1+IF($I$5=1,0.1,IF($I$5=4,0.075,0.0875))),"")</f>
        <v/>
      </c>
      <c r="AM18" s="54">
        <f>IF(ISNUMBER(Z18),Z18*(1+IF($I$5=1,0.1,IF($I$5=4,0.075,0.0875))),"")</f>
        <v/>
      </c>
      <c r="AN18" s="54">
        <f>IF(ISNUMBER(AA18),AA18*(1+IF($I$5=1,0.1,IF($I$5=4,0.075,0.0875))),"")</f>
        <v/>
      </c>
      <c r="AO18" s="54">
        <f>IF(ISNUMBER(AB18),AB18*(1+IF($I$5=1,0.1,IF($I$5=4,0.075,0.0875))),"")</f>
        <v/>
      </c>
      <c r="AP18" s="55">
        <f>+SUM(AD18:AO18)</f>
        <v/>
      </c>
      <c r="AQ18" s="55">
        <f>+AP18-AC18</f>
        <v/>
      </c>
      <c r="AR18" s="57">
        <f>+AQ18/AC18</f>
        <v/>
      </c>
      <c r="AS18" s="8" t="n"/>
      <c r="AY18" s="4">
        <f>L18</f>
        <v/>
      </c>
      <c r="AZ18" s="39">
        <f>M18</f>
        <v/>
      </c>
    </row>
    <row r="19">
      <c r="C19" s="8" t="n"/>
      <c r="D19" s="8" t="n"/>
      <c r="E19" s="8" t="n"/>
      <c r="F19" s="8" t="n"/>
      <c r="G19" s="8" t="n"/>
      <c r="H19" s="8" t="n"/>
      <c r="I19" s="12" t="inlineStr">
        <is>
          <t>Annually</t>
        </is>
      </c>
      <c r="J19" s="12">
        <f>IFERROR(VLOOKUP(I19,$I$6:$J$8,2,FALSE),"Select freq")</f>
        <v/>
      </c>
      <c r="K19" s="16" t="inlineStr">
        <is>
          <t>Approved</t>
        </is>
      </c>
      <c r="L19" s="52" t="n">
        <v>44743</v>
      </c>
      <c r="M19" s="53" t="n">
        <v>0.097</v>
      </c>
      <c r="N19" s="53" t="n"/>
      <c r="O19" s="53" t="n"/>
      <c r="P19" s="53" t="n"/>
      <c r="Q19" s="54" t="n">
        <v>53383.179</v>
      </c>
      <c r="R19" s="54" t="n">
        <v>65198.196</v>
      </c>
      <c r="S19" s="54" t="n">
        <v>86374.1755541368</v>
      </c>
      <c r="T19" s="54" t="n">
        <v>82895.3921030404</v>
      </c>
      <c r="U19" s="54" t="n">
        <v>72700.33871691261</v>
      </c>
      <c r="V19" s="54" t="n">
        <v>143905.836328393</v>
      </c>
      <c r="W19" s="54" t="n">
        <v>63364.68</v>
      </c>
      <c r="X19" s="54" t="n">
        <v>63364.68</v>
      </c>
      <c r="Y19" s="54" t="n">
        <v>96497.3051119114</v>
      </c>
      <c r="Z19" s="54" t="n">
        <v>79205.85000000001</v>
      </c>
      <c r="AA19" s="54" t="n">
        <v>116168.58</v>
      </c>
      <c r="AB19" s="54" t="n">
        <v>116168.58</v>
      </c>
      <c r="AC19" s="55">
        <f>+SUM(Q19:AB19)</f>
        <v/>
      </c>
      <c r="AD19" s="54">
        <f>IF(ISNUMBER(Q19),Q19*(1+IF($I$5=1,0.1,IF($I$5=4,0.075,0.0875))),"")</f>
        <v/>
      </c>
      <c r="AE19" s="54">
        <f>IF(ISNUMBER(R19),R19*(1+IF($I$5=1,0.1,IF($I$5=4,0.075,0.0875))),"")</f>
        <v/>
      </c>
      <c r="AF19" s="54">
        <f>IF(ISNUMBER(S19),S19*(1+IF($I$5=1,0.1,IF($I$5=4,0.075,0.0875))),"")</f>
        <v/>
      </c>
      <c r="AG19" s="54">
        <f>IF(ISNUMBER(T19),T19*(1+IF($I$5=1,0.1,IF($I$5=4,0.075,0.0875))),"")</f>
        <v/>
      </c>
      <c r="AH19" s="54">
        <f>IF(ISNUMBER(U19),U19*(1+IF($I$5=1,0.1,IF($I$5=4,0.075,0.0875))),"")</f>
        <v/>
      </c>
      <c r="AI19" s="54">
        <f>IF(ISNUMBER(V19),V19*(1+IF($I$5=1,0.1,IF($I$5=4,0.075,0.0875))),"")</f>
        <v/>
      </c>
      <c r="AJ19" s="54">
        <f>IF(ISNUMBER(W19),W19*(1+IF($I$5=1,0.1,IF($I$5=4,0.075,0.0875))),"")</f>
        <v/>
      </c>
      <c r="AK19" s="54">
        <f>IF(ISNUMBER(X19),X19*(1+IF($I$5=1,0.1,IF($I$5=4,0.075,0.0875))),"")</f>
        <v/>
      </c>
      <c r="AL19" s="54">
        <f>IF(ISNUMBER(Y19),Y19*(1+IF($I$5=1,0.1,IF($I$5=4,0.075,0.0875))),"")</f>
        <v/>
      </c>
      <c r="AM19" s="54">
        <f>IF(ISNUMBER(Z19),Z19*(1+IF($I$5=1,0.1,IF($I$5=4,0.075,0.0875))),"")</f>
        <v/>
      </c>
      <c r="AN19" s="54">
        <f>IF(ISNUMBER(AA19),AA19*(1+IF($I$5=1,0.1,IF($I$5=4,0.075,0.0875))),"")</f>
        <v/>
      </c>
      <c r="AO19" s="54">
        <f>IF(ISNUMBER(AB19),AB19*(1+IF($I$5=1,0.1,IF($I$5=4,0.075,0.0875))),"")</f>
        <v/>
      </c>
      <c r="AP19" s="55">
        <f>+SUM(AD19:AO19)</f>
        <v/>
      </c>
      <c r="AQ19" s="55">
        <f>+AP19-AC19</f>
        <v/>
      </c>
      <c r="AR19" s="57">
        <f>+AQ19/AC19</f>
        <v/>
      </c>
      <c r="AS19" s="8" t="n"/>
      <c r="AY19" s="4">
        <f>L19</f>
        <v/>
      </c>
      <c r="AZ19" s="39">
        <f>M19</f>
        <v/>
      </c>
    </row>
    <row r="20">
      <c r="C20" s="8" t="n"/>
      <c r="D20" s="8" t="n"/>
      <c r="E20" s="8" t="n"/>
      <c r="F20" s="8" t="n"/>
      <c r="G20" s="8" t="n"/>
      <c r="H20" s="8" t="n"/>
      <c r="I20" s="12" t="inlineStr">
        <is>
          <t>Annually</t>
        </is>
      </c>
      <c r="J20" s="12">
        <f>IFERROR(VLOOKUP(I20,$I$6:$J$8,2,FALSE),"Select freq")</f>
        <v/>
      </c>
      <c r="K20" s="16" t="inlineStr">
        <is>
          <t>Approved</t>
        </is>
      </c>
      <c r="L20" s="52" t="n">
        <v>44743</v>
      </c>
      <c r="M20" s="53" t="n">
        <v>0.097</v>
      </c>
      <c r="N20" s="53" t="n"/>
      <c r="O20" s="53" t="n"/>
      <c r="P20" s="53" t="n"/>
      <c r="Q20" s="54" t="n">
        <v>238602.275397349</v>
      </c>
      <c r="R20" s="54" t="n">
        <v>267242.669675961</v>
      </c>
      <c r="S20" s="54" t="n">
        <v>510367.857221358</v>
      </c>
      <c r="T20" s="54" t="n">
        <v>405529.532386001</v>
      </c>
      <c r="U20" s="54" t="n">
        <v>435385.041119154</v>
      </c>
      <c r="V20" s="54" t="n">
        <v>305958.35940895</v>
      </c>
      <c r="W20" s="54" t="n">
        <v>231053.613175288</v>
      </c>
      <c r="X20" s="54" t="n">
        <v>231053.613175288</v>
      </c>
      <c r="Y20" s="54" t="n">
        <v>351868.754135353</v>
      </c>
      <c r="Z20" s="54" t="n">
        <v>288817.01646911</v>
      </c>
      <c r="AA20" s="54" t="n">
        <v>423598.290821362</v>
      </c>
      <c r="AB20" s="54" t="n">
        <v>423598.290821362</v>
      </c>
      <c r="AC20" s="55">
        <f>+SUM(Q20:AB20)</f>
        <v/>
      </c>
      <c r="AD20" s="54">
        <f>IF(ISNUMBER(Q20),Q20*(1+IF($I$5=1,0.1,IF($I$5=4,0.075,0.0875))),"")</f>
        <v/>
      </c>
      <c r="AE20" s="54">
        <f>IF(ISNUMBER(R20),R20*(1+IF($I$5=1,0.1,IF($I$5=4,0.075,0.0875))),"")</f>
        <v/>
      </c>
      <c r="AF20" s="54">
        <f>IF(ISNUMBER(S20),S20*(1+IF($I$5=1,0.1,IF($I$5=4,0.075,0.0875))),"")</f>
        <v/>
      </c>
      <c r="AG20" s="54">
        <f>IF(ISNUMBER(T20),T20*(1+IF($I$5=1,0.1,IF($I$5=4,0.075,0.0875))),"")</f>
        <v/>
      </c>
      <c r="AH20" s="54">
        <f>IF(ISNUMBER(U20),U20*(1+IF($I$5=1,0.1,IF($I$5=4,0.075,0.0875))),"")</f>
        <v/>
      </c>
      <c r="AI20" s="54">
        <f>IF(ISNUMBER(V20),V20*(1+IF($I$5=1,0.1,IF($I$5=4,0.075,0.0875))),"")</f>
        <v/>
      </c>
      <c r="AJ20" s="54">
        <f>IF(ISNUMBER(W20),W20*(1+IF($I$5=1,0.1,IF($I$5=4,0.075,0.0875))),"")</f>
        <v/>
      </c>
      <c r="AK20" s="54">
        <f>IF(ISNUMBER(X20),X20*(1+IF($I$5=1,0.1,IF($I$5=4,0.075,0.0875))),"")</f>
        <v/>
      </c>
      <c r="AL20" s="54">
        <f>IF(ISNUMBER(Y20),Y20*(1+IF($I$5=1,0.1,IF($I$5=4,0.075,0.0875))),"")</f>
        <v/>
      </c>
      <c r="AM20" s="54">
        <f>IF(ISNUMBER(Z20),Z20*(1+IF($I$5=1,0.1,IF($I$5=4,0.075,0.0875))),"")</f>
        <v/>
      </c>
      <c r="AN20" s="54">
        <f>IF(ISNUMBER(AA20),AA20*(1+IF($I$5=1,0.1,IF($I$5=4,0.075,0.0875))),"")</f>
        <v/>
      </c>
      <c r="AO20" s="54">
        <f>IF(ISNUMBER(AB20),AB20*(1+IF($I$5=1,0.1,IF($I$5=4,0.075,0.0875))),"")</f>
        <v/>
      </c>
      <c r="AP20" s="55">
        <f>+SUM(AD20:AO20)</f>
        <v/>
      </c>
      <c r="AQ20" s="55">
        <f>+AP20-AC20</f>
        <v/>
      </c>
      <c r="AR20" s="57">
        <f>+AQ20/AC20</f>
        <v/>
      </c>
      <c r="AS20" s="8" t="inlineStr">
        <is>
          <t>- GFS &amp; Sysco have approved</t>
        </is>
      </c>
      <c r="AY20" s="4">
        <f>L20</f>
        <v/>
      </c>
      <c r="AZ20" s="39">
        <f>M20</f>
        <v/>
      </c>
    </row>
    <row r="21">
      <c r="C21" s="8" t="n"/>
      <c r="D21" s="8" t="n"/>
      <c r="E21" s="8" t="n"/>
      <c r="F21" s="8" t="n"/>
      <c r="G21" s="8" t="n"/>
      <c r="H21" s="8" t="n"/>
      <c r="I21" s="12" t="inlineStr">
        <is>
          <t>Annually</t>
        </is>
      </c>
      <c r="J21" s="12">
        <f>IFERROR(VLOOKUP(I21,$I$6:$J$8,2,FALSE),"Select freq")</f>
        <v/>
      </c>
      <c r="K21" s="16" t="inlineStr">
        <is>
          <t>Approved</t>
        </is>
      </c>
      <c r="L21" s="52" t="n">
        <v>44743</v>
      </c>
      <c r="M21" s="53" t="n">
        <v>0.097</v>
      </c>
      <c r="N21" s="53" t="n"/>
      <c r="O21" s="53" t="n"/>
      <c r="P21" s="53" t="n"/>
      <c r="Q21" s="54" t="n">
        <v>39647.6685693407</v>
      </c>
      <c r="R21" s="54" t="n">
        <v>12410.2812226503</v>
      </c>
      <c r="S21" s="54" t="n">
        <v>19149.3619219029</v>
      </c>
      <c r="T21" s="54" t="n">
        <v>22169.9351751356</v>
      </c>
      <c r="U21" s="54" t="n">
        <v>21903.8007264667</v>
      </c>
      <c r="V21" s="54" t="n">
        <v>19986.9217122768</v>
      </c>
      <c r="W21" s="54" t="n">
        <v>15091.2715679492</v>
      </c>
      <c r="X21" s="54" t="n">
        <v>15091.2715679492</v>
      </c>
      <c r="Y21" s="54" t="n">
        <v>22982.315021856</v>
      </c>
      <c r="Z21" s="54" t="n">
        <v>18864.0894599365</v>
      </c>
      <c r="AA21" s="54" t="n">
        <v>27667.3312079068</v>
      </c>
      <c r="AB21" s="54" t="n">
        <v>27667.3312079068</v>
      </c>
      <c r="AC21" s="55">
        <f>+SUM(Q21:AB21)</f>
        <v/>
      </c>
      <c r="AD21" s="54">
        <f>IF(ISNUMBER(Q21),Q21*(1+IF($I$5=1,0.1,IF($I$5=4,0.075,0.0875))),"")</f>
        <v/>
      </c>
      <c r="AE21" s="54">
        <f>IF(ISNUMBER(R21),R21*(1+IF($I$5=1,0.1,IF($I$5=4,0.075,0.0875))),"")</f>
        <v/>
      </c>
      <c r="AF21" s="54">
        <f>IF(ISNUMBER(S21),S21*(1+IF($I$5=1,0.1,IF($I$5=4,0.075,0.0875))),"")</f>
        <v/>
      </c>
      <c r="AG21" s="54">
        <f>IF(ISNUMBER(T21),T21*(1+IF($I$5=1,0.1,IF($I$5=4,0.075,0.0875))),"")</f>
        <v/>
      </c>
      <c r="AH21" s="54">
        <f>IF(ISNUMBER(U21),U21*(1+IF($I$5=1,0.1,IF($I$5=4,0.075,0.0875))),"")</f>
        <v/>
      </c>
      <c r="AI21" s="54">
        <f>IF(ISNUMBER(V21),V21*(1+IF($I$5=1,0.1,IF($I$5=4,0.075,0.0875))),"")</f>
        <v/>
      </c>
      <c r="AJ21" s="54">
        <f>IF(ISNUMBER(W21),W21*(1+IF($I$5=1,0.1,IF($I$5=4,0.075,0.0875))),"")</f>
        <v/>
      </c>
      <c r="AK21" s="54">
        <f>IF(ISNUMBER(X21),X21*(1+IF($I$5=1,0.1,IF($I$5=4,0.075,0.0875))),"")</f>
        <v/>
      </c>
      <c r="AL21" s="54">
        <f>IF(ISNUMBER(Y21),Y21*(1+IF($I$5=1,0.1,IF($I$5=4,0.075,0.0875))),"")</f>
        <v/>
      </c>
      <c r="AM21" s="54">
        <f>IF(ISNUMBER(Z21),Z21*(1+IF($I$5=1,0.1,IF($I$5=4,0.075,0.0875))),"")</f>
        <v/>
      </c>
      <c r="AN21" s="54">
        <f>IF(ISNUMBER(AA21),AA21*(1+IF($I$5=1,0.1,IF($I$5=4,0.075,0.0875))),"")</f>
        <v/>
      </c>
      <c r="AO21" s="54">
        <f>IF(ISNUMBER(AB21),AB21*(1+IF($I$5=1,0.1,IF($I$5=4,0.075,0.0875))),"")</f>
        <v/>
      </c>
      <c r="AP21" s="55">
        <f>+SUM(AD21:AO21)</f>
        <v/>
      </c>
      <c r="AQ21" s="55">
        <f>+AP21-AC21</f>
        <v/>
      </c>
      <c r="AR21" s="57">
        <f>+AQ21/AC21</f>
        <v/>
      </c>
      <c r="AS21" s="8" t="n"/>
      <c r="AY21" s="4">
        <f>L21</f>
        <v/>
      </c>
      <c r="AZ21" s="39">
        <f>M21</f>
        <v/>
      </c>
    </row>
    <row r="22">
      <c r="C22" s="8" t="n"/>
      <c r="D22" s="8" t="n"/>
      <c r="E22" s="8" t="n"/>
      <c r="F22" s="8" t="n"/>
      <c r="G22" s="8" t="n"/>
      <c r="H22" s="8" t="n"/>
      <c r="I22" s="12" t="n"/>
      <c r="J22" s="12">
        <f>IFERROR(VLOOKUP(I22,$I$6:$J$8,2,FALSE),"Select freq")</f>
        <v/>
      </c>
      <c r="K22" s="16" t="n"/>
      <c r="L22" s="52" t="n"/>
      <c r="M22" s="58" t="n"/>
      <c r="N22" s="58" t="n"/>
      <c r="O22" s="58" t="n"/>
      <c r="P22" s="58" t="n"/>
      <c r="Q22" s="54" t="n">
        <v>36287.6869826034</v>
      </c>
      <c r="R22" s="54" t="n">
        <v>72868.0133569266</v>
      </c>
      <c r="S22" s="54" t="n">
        <v>92882.0323263344</v>
      </c>
      <c r="T22" s="54" t="n">
        <v>188379.743874594</v>
      </c>
      <c r="U22" s="54" t="n">
        <v>21072.2360282745</v>
      </c>
      <c r="V22" s="54" t="n">
        <v>38482.8902446143</v>
      </c>
      <c r="W22" s="54" t="n">
        <v>34657.2641037352</v>
      </c>
      <c r="X22" s="54" t="n">
        <v>60891.0801670575</v>
      </c>
      <c r="Y22" s="54" t="n">
        <v>67440.2107864783</v>
      </c>
      <c r="Z22" s="54" t="n">
        <v>59697.1374186838</v>
      </c>
      <c r="AA22" s="54" t="n">
        <v>65666.85116055221</v>
      </c>
      <c r="AB22" s="54" t="n">
        <v>72036.53572312579</v>
      </c>
      <c r="AC22" s="55">
        <f>+SUM(Q22:AB22)</f>
        <v/>
      </c>
      <c r="AD22" s="54">
        <f>IF(ISNUMBER(Q22),Q22*(1+IF($I$5=1,0.1,IF($I$5=4,0.075,0.0875))),"")</f>
        <v/>
      </c>
      <c r="AE22" s="54">
        <f>IF(ISNUMBER(R22),R22*(1+IF($I$5=1,0.1,IF($I$5=4,0.075,0.0875))),"")</f>
        <v/>
      </c>
      <c r="AF22" s="54">
        <f>IF(ISNUMBER(S22),S22*(1+IF($I$5=1,0.1,IF($I$5=4,0.075,0.0875))),"")</f>
        <v/>
      </c>
      <c r="AG22" s="54">
        <f>IF(ISNUMBER(T22),T22*(1+IF($I$5=1,0.1,IF($I$5=4,0.075,0.0875))),"")</f>
        <v/>
      </c>
      <c r="AH22" s="54">
        <f>IF(ISNUMBER(U22),U22*(1+IF($I$5=1,0.1,IF($I$5=4,0.075,0.0875))),"")</f>
        <v/>
      </c>
      <c r="AI22" s="54">
        <f>IF(ISNUMBER(V22),V22*(1+IF($I$5=1,0.1,IF($I$5=4,0.075,0.0875))),"")</f>
        <v/>
      </c>
      <c r="AJ22" s="54">
        <f>IF(ISNUMBER(W22),W22*(1+IF($I$5=1,0.1,IF($I$5=4,0.075,0.0875))),"")</f>
        <v/>
      </c>
      <c r="AK22" s="54">
        <f>IF(ISNUMBER(X22),X22*(1+IF($I$5=1,0.1,IF($I$5=4,0.075,0.0875))),"")</f>
        <v/>
      </c>
      <c r="AL22" s="54">
        <f>IF(ISNUMBER(Y22),Y22*(1+IF($I$5=1,0.1,IF($I$5=4,0.075,0.0875))),"")</f>
        <v/>
      </c>
      <c r="AM22" s="54">
        <f>IF(ISNUMBER(Z22),Z22*(1+IF($I$5=1,0.1,IF($I$5=4,0.075,0.0875))),"")</f>
        <v/>
      </c>
      <c r="AN22" s="54">
        <f>IF(ISNUMBER(AA22),AA22*(1+IF($I$5=1,0.1,IF($I$5=4,0.075,0.0875))),"")</f>
        <v/>
      </c>
      <c r="AO22" s="54">
        <f>IF(ISNUMBER(AB22),AB22*(1+IF($I$5=1,0.1,IF($I$5=4,0.075,0.0875))),"")</f>
        <v/>
      </c>
      <c r="AP22" s="55">
        <f>+SUM(AD22:AO22)</f>
        <v/>
      </c>
      <c r="AQ22" s="55">
        <f>+AP22-AC22</f>
        <v/>
      </c>
      <c r="AR22" s="57">
        <f>+AQ22/AC22</f>
        <v/>
      </c>
      <c r="AS22" s="8" t="n"/>
      <c r="AY22" s="4">
        <f>L22</f>
        <v/>
      </c>
      <c r="AZ22" s="39">
        <f>M22</f>
        <v/>
      </c>
    </row>
    <row r="23">
      <c r="C23" s="8" t="n"/>
      <c r="D23" s="8" t="n"/>
      <c r="E23" s="8" t="n"/>
      <c r="F23" s="8" t="n"/>
      <c r="G23" s="8" t="n"/>
      <c r="H23" s="8" t="n"/>
      <c r="I23" s="12" t="inlineStr">
        <is>
          <t>Annually</t>
        </is>
      </c>
      <c r="J23" s="12">
        <f>IFERROR(VLOOKUP(I23,$I$6:$J$8,2,FALSE),"Select freq")</f>
        <v/>
      </c>
      <c r="K23" s="16" t="n"/>
      <c r="L23" s="52" t="n">
        <v>44743</v>
      </c>
      <c r="M23" s="53" t="n">
        <v>0.097</v>
      </c>
      <c r="N23" s="53" t="n"/>
      <c r="O23" s="53" t="n"/>
      <c r="P23" s="53" t="n"/>
      <c r="Q23" s="54" t="n">
        <v>354889.949820937</v>
      </c>
      <c r="R23" s="54" t="n">
        <v>354889.949820937</v>
      </c>
      <c r="S23" s="54" t="n">
        <v>360678.678740032</v>
      </c>
      <c r="T23" s="54" t="n">
        <v>356819.526127302</v>
      </c>
      <c r="U23" s="54" t="n">
        <v>356819.526127302</v>
      </c>
      <c r="V23" s="54" t="n">
        <v>356794.290573184</v>
      </c>
      <c r="W23" s="54" t="n">
        <v>346013.898811658</v>
      </c>
      <c r="X23" s="54" t="n">
        <v>346013.898811658</v>
      </c>
      <c r="Y23" s="54" t="n">
        <v>360542.809377041</v>
      </c>
      <c r="Z23" s="54" t="n">
        <v>352960.373514572</v>
      </c>
      <c r="AA23" s="54" t="n">
        <v>369168.814488039</v>
      </c>
      <c r="AB23" s="54" t="n">
        <v>369168.814488039</v>
      </c>
      <c r="AC23" s="55">
        <f>+SUM(Q23:AB23)</f>
        <v/>
      </c>
      <c r="AD23" s="54">
        <f>IF(ISNUMBER(Q23),Q23*(1+IF($I$5=1,0.1,IF($I$5=4,0.075,0.0875))),"")</f>
        <v/>
      </c>
      <c r="AE23" s="54">
        <f>IF(ISNUMBER(R23),R23*(1+IF($I$5=1,0.1,IF($I$5=4,0.075,0.0875))),"")</f>
        <v/>
      </c>
      <c r="AF23" s="54">
        <f>IF(ISNUMBER(S23),S23*(1+IF($I$5=1,0.1,IF($I$5=4,0.075,0.0875))),"")</f>
        <v/>
      </c>
      <c r="AG23" s="54">
        <f>IF(ISNUMBER(T23),T23*(1+IF($I$5=1,0.1,IF($I$5=4,0.075,0.0875))),"")</f>
        <v/>
      </c>
      <c r="AH23" s="54">
        <f>IF(ISNUMBER(U23),U23*(1+IF($I$5=1,0.1,IF($I$5=4,0.075,0.0875))),"")</f>
        <v/>
      </c>
      <c r="AI23" s="54">
        <f>IF(ISNUMBER(V23),V23*(1+IF($I$5=1,0.1,IF($I$5=4,0.075,0.0875))),"")</f>
        <v/>
      </c>
      <c r="AJ23" s="54">
        <f>IF(ISNUMBER(W23),W23*(1+IF($I$5=1,0.1,IF($I$5=4,0.075,0.0875))),"")</f>
        <v/>
      </c>
      <c r="AK23" s="54">
        <f>IF(ISNUMBER(X23),X23*(1+IF($I$5=1,0.1,IF($I$5=4,0.075,0.0875))),"")</f>
        <v/>
      </c>
      <c r="AL23" s="54">
        <f>IF(ISNUMBER(Y23),Y23*(1+IF($I$5=1,0.1,IF($I$5=4,0.075,0.0875))),"")</f>
        <v/>
      </c>
      <c r="AM23" s="54">
        <f>IF(ISNUMBER(Z23),Z23*(1+IF($I$5=1,0.1,IF($I$5=4,0.075,0.0875))),"")</f>
        <v/>
      </c>
      <c r="AN23" s="54">
        <f>IF(ISNUMBER(AA23),AA23*(1+IF($I$5=1,0.1,IF($I$5=4,0.075,0.0875))),"")</f>
        <v/>
      </c>
      <c r="AO23" s="54">
        <f>IF(ISNUMBER(AB23),AB23*(1+IF($I$5=1,0.1,IF($I$5=4,0.075,0.0875))),"")</f>
        <v/>
      </c>
      <c r="AP23" s="55">
        <f>+SUM(AD23:AO23)</f>
        <v/>
      </c>
      <c r="AQ23" s="55">
        <f>+AP23-AC23</f>
        <v/>
      </c>
      <c r="AR23" s="57">
        <f>+AQ23/AC23</f>
        <v/>
      </c>
      <c r="AS23" s="8" t="n"/>
      <c r="AY23" s="4">
        <f>L23</f>
        <v/>
      </c>
      <c r="AZ23" s="39">
        <f>M23</f>
        <v/>
      </c>
    </row>
    <row r="24">
      <c r="C24" s="8" t="n"/>
      <c r="D24" s="8" t="n"/>
      <c r="E24" s="8" t="n"/>
      <c r="F24" s="8" t="n"/>
      <c r="G24" s="8" t="n"/>
      <c r="H24" s="8" t="n"/>
      <c r="I24" s="12" t="inlineStr">
        <is>
          <t>Annually</t>
        </is>
      </c>
      <c r="J24" s="12">
        <f>IFERROR(VLOOKUP(I24,$I$6:$J$8,2,FALSE),"Select freq")</f>
        <v/>
      </c>
      <c r="K24" s="16" t="inlineStr">
        <is>
          <t>Approved</t>
        </is>
      </c>
      <c r="L24" s="52" t="n">
        <v>44743</v>
      </c>
      <c r="M24" s="53" t="n">
        <v>0.097</v>
      </c>
      <c r="N24" s="53" t="n"/>
      <c r="O24" s="53" t="n"/>
      <c r="P24" s="53" t="n"/>
      <c r="Q24" s="54" t="n">
        <v>29898.9533193518</v>
      </c>
      <c r="R24" s="54" t="n">
        <v>37420.7220823839</v>
      </c>
      <c r="S24" s="54" t="n">
        <v>30563.150146158</v>
      </c>
      <c r="T24" s="54" t="n">
        <v>38043.66</v>
      </c>
      <c r="U24" s="54" t="n">
        <v>54941.7783829373</v>
      </c>
      <c r="V24" s="54" t="n">
        <v>39973.8434245537</v>
      </c>
      <c r="W24" s="54" t="n">
        <v>28800</v>
      </c>
      <c r="X24" s="54" t="n">
        <v>28800</v>
      </c>
      <c r="Y24" s="54" t="n">
        <v>43859.1718165869</v>
      </c>
      <c r="Z24" s="54" t="n">
        <v>36000</v>
      </c>
      <c r="AA24" s="54" t="n">
        <v>52800</v>
      </c>
      <c r="AB24" s="54" t="n">
        <v>52800</v>
      </c>
      <c r="AC24" s="55">
        <f>+SUM(Q24:AB24)</f>
        <v/>
      </c>
      <c r="AD24" s="54">
        <f>IF(ISNUMBER(Q24),Q24*(1+IF($I$5=1,0.1,IF($I$5=4,0.075,0.0875))),"")</f>
        <v/>
      </c>
      <c r="AE24" s="54">
        <f>IF(ISNUMBER(R24),R24*(1+IF($I$5=1,0.1,IF($I$5=4,0.075,0.0875))),"")</f>
        <v/>
      </c>
      <c r="AF24" s="54">
        <f>IF(ISNUMBER(S24),S24*(1+IF($I$5=1,0.1,IF($I$5=4,0.075,0.0875))),"")</f>
        <v/>
      </c>
      <c r="AG24" s="54">
        <f>IF(ISNUMBER(T24),T24*(1+IF($I$5=1,0.1,IF($I$5=4,0.075,0.0875))),"")</f>
        <v/>
      </c>
      <c r="AH24" s="54">
        <f>IF(ISNUMBER(U24),U24*(1+IF($I$5=1,0.1,IF($I$5=4,0.075,0.0875))),"")</f>
        <v/>
      </c>
      <c r="AI24" s="54">
        <f>IF(ISNUMBER(V24),V24*(1+IF($I$5=1,0.1,IF($I$5=4,0.075,0.0875))),"")</f>
        <v/>
      </c>
      <c r="AJ24" s="54">
        <f>IF(ISNUMBER(W24),W24*(1+IF($I$5=1,0.1,IF($I$5=4,0.075,0.0875))),"")</f>
        <v/>
      </c>
      <c r="AK24" s="54">
        <f>IF(ISNUMBER(X24),X24*(1+IF($I$5=1,0.1,IF($I$5=4,0.075,0.0875))),"")</f>
        <v/>
      </c>
      <c r="AL24" s="54">
        <f>IF(ISNUMBER(Y24),Y24*(1+IF($I$5=1,0.1,IF($I$5=4,0.075,0.0875))),"")</f>
        <v/>
      </c>
      <c r="AM24" s="54">
        <f>IF(ISNUMBER(Z24),Z24*(1+IF($I$5=1,0.1,IF($I$5=4,0.075,0.0875))),"")</f>
        <v/>
      </c>
      <c r="AN24" s="54">
        <f>IF(ISNUMBER(AA24),AA24*(1+IF($I$5=1,0.1,IF($I$5=4,0.075,0.0875))),"")</f>
        <v/>
      </c>
      <c r="AO24" s="54">
        <f>IF(ISNUMBER(AB24),AB24*(1+IF($I$5=1,0.1,IF($I$5=4,0.075,0.0875))),"")</f>
        <v/>
      </c>
      <c r="AP24" s="55">
        <f>+SUM(AD24:AO24)</f>
        <v/>
      </c>
      <c r="AQ24" s="55">
        <f>+AP24-AC24</f>
        <v/>
      </c>
      <c r="AR24" s="57">
        <f>+AQ24/AC24</f>
        <v/>
      </c>
      <c r="AS24" s="8" t="n"/>
      <c r="AY24" s="4">
        <f>L24</f>
        <v/>
      </c>
      <c r="AZ24" s="39">
        <f>M24</f>
        <v/>
      </c>
    </row>
    <row r="25">
      <c r="C25" s="8" t="n"/>
      <c r="D25" s="8" t="n"/>
      <c r="E25" s="8" t="n"/>
      <c r="F25" s="8" t="n"/>
      <c r="G25" s="8" t="n"/>
      <c r="H25" s="8" t="n"/>
      <c r="I25" s="12" t="inlineStr">
        <is>
          <t>Annually</t>
        </is>
      </c>
      <c r="J25" s="12">
        <f>IFERROR(VLOOKUP(I25,$I$6:$J$8,2,FALSE),"Select freq")</f>
        <v/>
      </c>
      <c r="K25" s="16" t="inlineStr">
        <is>
          <t>Approved</t>
        </is>
      </c>
      <c r="L25" s="52" t="n">
        <v>44805</v>
      </c>
      <c r="M25" s="53" t="n">
        <v>0.097</v>
      </c>
      <c r="N25" s="53" t="n"/>
      <c r="O25" s="53" t="n"/>
      <c r="P25" s="53" t="n"/>
      <c r="Q25" s="54" t="n">
        <v>419468.760223224</v>
      </c>
      <c r="R25" s="54" t="n">
        <v>419468.760223224</v>
      </c>
      <c r="S25" s="54" t="n">
        <v>485700.669732153</v>
      </c>
      <c r="T25" s="54" t="n">
        <v>441546.063392867</v>
      </c>
      <c r="U25" s="54" t="n">
        <v>441546.063392867</v>
      </c>
      <c r="V25" s="54" t="n">
        <v>441257.330069862</v>
      </c>
      <c r="W25" s="54" t="n">
        <v>317913.165642864</v>
      </c>
      <c r="X25" s="54" t="n">
        <v>317913.165642864</v>
      </c>
      <c r="Y25" s="54" t="n">
        <v>484146.116482133</v>
      </c>
      <c r="Z25" s="54" t="n">
        <v>397391.45705358</v>
      </c>
      <c r="AA25" s="54" t="n">
        <v>582840.8036785841</v>
      </c>
      <c r="AB25" s="54" t="n">
        <v>582840.8036785841</v>
      </c>
      <c r="AC25" s="55">
        <f>+SUM(Q25:AB25)</f>
        <v/>
      </c>
      <c r="AD25" s="54">
        <f>IF(ISNUMBER(Q25),Q25*(1+IF($I$5=1,0.1,IF($I$5=4,0.075,0.0875))),"")</f>
        <v/>
      </c>
      <c r="AE25" s="54">
        <f>IF(ISNUMBER(R25),R25*(1+IF($I$5=1,0.1,IF($I$5=4,0.075,0.0875))),"")</f>
        <v/>
      </c>
      <c r="AF25" s="54">
        <f>IF(ISNUMBER(S25),S25*(1+IF($I$5=1,0.1,IF($I$5=4,0.075,0.0875))),"")</f>
        <v/>
      </c>
      <c r="AG25" s="54">
        <f>IF(ISNUMBER(T25),T25*(1+IF($I$5=1,0.1,IF($I$5=4,0.075,0.0875))),"")</f>
        <v/>
      </c>
      <c r="AH25" s="54">
        <f>IF(ISNUMBER(U25),U25*(1+IF($I$5=1,0.1,IF($I$5=4,0.075,0.0875))),"")</f>
        <v/>
      </c>
      <c r="AI25" s="54">
        <f>IF(ISNUMBER(V25),V25*(1+IF($I$5=1,0.1,IF($I$5=4,0.075,0.0875))),"")</f>
        <v/>
      </c>
      <c r="AJ25" s="54">
        <f>IF(ISNUMBER(W25),W25*(1+IF($I$5=1,0.1,IF($I$5=4,0.075,0.0875))),"")</f>
        <v/>
      </c>
      <c r="AK25" s="54">
        <f>IF(ISNUMBER(X25),X25*(1+IF($I$5=1,0.1,IF($I$5=4,0.075,0.0875))),"")</f>
        <v/>
      </c>
      <c r="AL25" s="54">
        <f>IF(ISNUMBER(Y25),Y25*(1+IF($I$5=1,0.1,IF($I$5=4,0.075,0.0875))),"")</f>
        <v/>
      </c>
      <c r="AM25" s="54">
        <f>IF(ISNUMBER(Z25),Z25*(1+IF($I$5=1,0.1,IF($I$5=4,0.075,0.0875))),"")</f>
        <v/>
      </c>
      <c r="AN25" s="54">
        <f>IF(ISNUMBER(AA25),AA25*(1+IF($I$5=1,0.1,IF($I$5=4,0.075,0.0875))),"")</f>
        <v/>
      </c>
      <c r="AO25" s="54">
        <f>IF(ISNUMBER(AB25),AB25*(1+IF($I$5=1,0.1,IF($I$5=4,0.075,0.0875))),"")</f>
        <v/>
      </c>
      <c r="AP25" s="55">
        <f>+SUM(AD25:AO25)</f>
        <v/>
      </c>
      <c r="AQ25" s="55">
        <f>+AP25-AC25</f>
        <v/>
      </c>
      <c r="AR25" s="57">
        <f>+AQ25/AC25</f>
        <v/>
      </c>
      <c r="AS25" s="8" t="inlineStr">
        <is>
          <t>- approved (Quebec - Sept 1; Ontario -Sept 5)</t>
        </is>
      </c>
      <c r="AY25" s="4">
        <f>L25</f>
        <v/>
      </c>
      <c r="AZ25" s="39">
        <f>M25</f>
        <v/>
      </c>
    </row>
    <row r="26">
      <c r="C26" s="8" t="n"/>
      <c r="D26" s="8" t="n"/>
      <c r="E26" s="8" t="n"/>
      <c r="F26" s="8" t="n"/>
      <c r="G26" s="8" t="n"/>
      <c r="H26" s="8" t="n"/>
      <c r="I26" s="12" t="inlineStr">
        <is>
          <t>Annually</t>
        </is>
      </c>
      <c r="J26" s="12">
        <f>IFERROR(VLOOKUP(I26,$I$6:$J$8,2,FALSE),"Select freq")</f>
        <v/>
      </c>
      <c r="K26" s="16" t="inlineStr">
        <is>
          <t>Approved</t>
        </is>
      </c>
      <c r="L26" s="52" t="n">
        <v>44743</v>
      </c>
      <c r="M26" s="53" t="n">
        <v>0.197</v>
      </c>
      <c r="N26" s="53" t="n"/>
      <c r="O26" s="53" t="n"/>
      <c r="P26" s="53" t="n"/>
      <c r="Q26" s="54" t="n">
        <v>294903.196258815</v>
      </c>
      <c r="R26" s="54" t="n">
        <v>389951.328844281</v>
      </c>
      <c r="S26" s="54" t="n">
        <v>313433.821601998</v>
      </c>
      <c r="T26" s="54" t="n">
        <v>216627.049280066</v>
      </c>
      <c r="U26" s="54" t="n">
        <v>335796.207041231</v>
      </c>
      <c r="V26" s="54" t="n">
        <v>279816.903971876</v>
      </c>
      <c r="W26" s="54" t="n">
        <v>201600</v>
      </c>
      <c r="X26" s="54" t="n">
        <v>201600</v>
      </c>
      <c r="Y26" s="54" t="n">
        <v>307014.202716108</v>
      </c>
      <c r="Z26" s="54" t="n">
        <v>252000</v>
      </c>
      <c r="AA26" s="54" t="n">
        <v>369600</v>
      </c>
      <c r="AB26" s="54" t="n">
        <v>369600</v>
      </c>
      <c r="AC26" s="55">
        <f>+SUM(Q26:AB26)</f>
        <v/>
      </c>
      <c r="AD26" s="54">
        <f>IF(ISNUMBER(Q26),Q26*(1+IF($I$5=1,0.1,IF($I$5=4,0.075,0.0875))),"")</f>
        <v/>
      </c>
      <c r="AE26" s="54">
        <f>IF(ISNUMBER(R26),R26*(1+IF($I$5=1,0.1,IF($I$5=4,0.075,0.0875))),"")</f>
        <v/>
      </c>
      <c r="AF26" s="54">
        <f>IF(ISNUMBER(S26),S26*(1+IF($I$5=1,0.1,IF($I$5=4,0.075,0.0875))),"")</f>
        <v/>
      </c>
      <c r="AG26" s="54">
        <f>IF(ISNUMBER(T26),T26*(1+IF($I$5=1,0.1,IF($I$5=4,0.075,0.0875))),"")</f>
        <v/>
      </c>
      <c r="AH26" s="54">
        <f>IF(ISNUMBER(U26),U26*(1+IF($I$5=1,0.1,IF($I$5=4,0.075,0.0875))),"")</f>
        <v/>
      </c>
      <c r="AI26" s="54">
        <f>IF(ISNUMBER(V26),V26*(1+IF($I$5=1,0.1,IF($I$5=4,0.075,0.0875))),"")</f>
        <v/>
      </c>
      <c r="AJ26" s="54">
        <f>IF(ISNUMBER(W26),W26*(1+IF($I$5=1,0.1,IF($I$5=4,0.075,0.0875))),"")</f>
        <v/>
      </c>
      <c r="AK26" s="54">
        <f>IF(ISNUMBER(X26),X26*(1+IF($I$5=1,0.1,IF($I$5=4,0.075,0.0875))),"")</f>
        <v/>
      </c>
      <c r="AL26" s="54">
        <f>IF(ISNUMBER(Y26),Y26*(1+IF($I$5=1,0.1,IF($I$5=4,0.075,0.0875))),"")</f>
        <v/>
      </c>
      <c r="AM26" s="54">
        <f>IF(ISNUMBER(Z26),Z26*(1+IF($I$5=1,0.1,IF($I$5=4,0.075,0.0875))),"")</f>
        <v/>
      </c>
      <c r="AN26" s="54">
        <f>IF(ISNUMBER(AA26),AA26*(1+IF($I$5=1,0.1,IF($I$5=4,0.075,0.0875))),"")</f>
        <v/>
      </c>
      <c r="AO26" s="54">
        <f>IF(ISNUMBER(AB26),AB26*(1+IF($I$5=1,0.1,IF($I$5=4,0.075,0.0875))),"")</f>
        <v/>
      </c>
      <c r="AP26" s="55">
        <f>+SUM(AD26:AO26)</f>
        <v/>
      </c>
      <c r="AQ26" s="55">
        <f>+AP26-AC26</f>
        <v/>
      </c>
      <c r="AR26" s="57">
        <f>+AQ26/AC26</f>
        <v/>
      </c>
      <c r="AS26" s="8" t="inlineStr">
        <is>
          <t>- received customer approval April 15th</t>
        </is>
      </c>
      <c r="AY26" s="4">
        <f>L26</f>
        <v/>
      </c>
      <c r="AZ26" s="39">
        <f>M26</f>
        <v/>
      </c>
    </row>
    <row r="27">
      <c r="C27" s="8" t="n"/>
      <c r="D27" s="8" t="n"/>
      <c r="E27" s="8" t="n"/>
      <c r="F27" s="8" t="n"/>
      <c r="G27" s="8" t="n"/>
      <c r="H27" s="8" t="n"/>
      <c r="I27" s="12" t="inlineStr">
        <is>
          <t>Annually</t>
        </is>
      </c>
      <c r="J27" s="12">
        <f>IFERROR(VLOOKUP(I27,$I$6:$J$8,2,FALSE),"Select freq")</f>
        <v/>
      </c>
      <c r="K27" s="16" t="inlineStr">
        <is>
          <t>Approved</t>
        </is>
      </c>
      <c r="L27" s="52" t="n">
        <v>44743</v>
      </c>
      <c r="M27" s="53" t="n">
        <v>0.097</v>
      </c>
      <c r="N27" s="53" t="n"/>
      <c r="O27" s="53" t="n"/>
      <c r="P27" s="53" t="n"/>
      <c r="Q27" s="54" t="n">
        <v>60904.6089290726</v>
      </c>
      <c r="R27" s="54" t="n">
        <v>32749.2225056274</v>
      </c>
      <c r="S27" s="54" t="n">
        <v>52124.0196713521</v>
      </c>
      <c r="T27" s="54" t="n">
        <v>45973.7621340877</v>
      </c>
      <c r="U27" s="54" t="n">
        <v>30702.460589993</v>
      </c>
      <c r="V27" s="54" t="n">
        <v>49967.3042806921</v>
      </c>
      <c r="W27" s="54" t="n">
        <v>36000</v>
      </c>
      <c r="X27" s="54" t="n">
        <v>36000</v>
      </c>
      <c r="Y27" s="54" t="n">
        <v>54823.9647707336</v>
      </c>
      <c r="Z27" s="54" t="n">
        <v>45000</v>
      </c>
      <c r="AA27" s="54" t="n">
        <v>66000</v>
      </c>
      <c r="AB27" s="54" t="n">
        <v>66000</v>
      </c>
      <c r="AC27" s="55">
        <f>+SUM(Q27:AB27)</f>
        <v/>
      </c>
      <c r="AD27" s="54">
        <f>IF(ISNUMBER(Q27),Q27*(1+IF($I$5=1,0.1,IF($I$5=4,0.075,0.0875))),"")</f>
        <v/>
      </c>
      <c r="AE27" s="54">
        <f>IF(ISNUMBER(R27),R27*(1+IF($I$5=1,0.1,IF($I$5=4,0.075,0.0875))),"")</f>
        <v/>
      </c>
      <c r="AF27" s="54">
        <f>IF(ISNUMBER(S27),S27*(1+IF($I$5=1,0.1,IF($I$5=4,0.075,0.0875))),"")</f>
        <v/>
      </c>
      <c r="AG27" s="54">
        <f>IF(ISNUMBER(T27),T27*(1+IF($I$5=1,0.1,IF($I$5=4,0.075,0.0875))),"")</f>
        <v/>
      </c>
      <c r="AH27" s="54">
        <f>IF(ISNUMBER(U27),U27*(1+IF($I$5=1,0.1,IF($I$5=4,0.075,0.0875))),"")</f>
        <v/>
      </c>
      <c r="AI27" s="54">
        <f>IF(ISNUMBER(V27),V27*(1+IF($I$5=1,0.1,IF($I$5=4,0.075,0.0875))),"")</f>
        <v/>
      </c>
      <c r="AJ27" s="54">
        <f>IF(ISNUMBER(W27),W27*(1+IF($I$5=1,0.1,IF($I$5=4,0.075,0.0875))),"")</f>
        <v/>
      </c>
      <c r="AK27" s="54">
        <f>IF(ISNUMBER(X27),X27*(1+IF($I$5=1,0.1,IF($I$5=4,0.075,0.0875))),"")</f>
        <v/>
      </c>
      <c r="AL27" s="54">
        <f>IF(ISNUMBER(Y27),Y27*(1+IF($I$5=1,0.1,IF($I$5=4,0.075,0.0875))),"")</f>
        <v/>
      </c>
      <c r="AM27" s="54">
        <f>IF(ISNUMBER(Z27),Z27*(1+IF($I$5=1,0.1,IF($I$5=4,0.075,0.0875))),"")</f>
        <v/>
      </c>
      <c r="AN27" s="54">
        <f>IF(ISNUMBER(AA27),AA27*(1+IF($I$5=1,0.1,IF($I$5=4,0.075,0.0875))),"")</f>
        <v/>
      </c>
      <c r="AO27" s="54">
        <f>IF(ISNUMBER(AB27),AB27*(1+IF($I$5=1,0.1,IF($I$5=4,0.075,0.0875))),"")</f>
        <v/>
      </c>
      <c r="AP27" s="55">
        <f>+SUM(AD27:AO27)</f>
        <v/>
      </c>
      <c r="AQ27" s="55">
        <f>+AP27-AC27</f>
        <v/>
      </c>
      <c r="AR27" s="57">
        <f>+AQ27/AC27</f>
        <v/>
      </c>
      <c r="AS27" s="8" t="n"/>
      <c r="AY27" s="4">
        <f>L27</f>
        <v/>
      </c>
      <c r="AZ27" s="39">
        <f>M27</f>
        <v/>
      </c>
    </row>
    <row r="28">
      <c r="C28" s="8" t="n"/>
      <c r="D28" s="8" t="n"/>
      <c r="E28" s="8" t="n"/>
      <c r="F28" s="8" t="n"/>
      <c r="G28" s="8" t="n"/>
      <c r="H28" s="8" t="n"/>
      <c r="I28" s="12" t="inlineStr">
        <is>
          <t>Annually</t>
        </is>
      </c>
      <c r="J28" s="12">
        <f>IFERROR(VLOOKUP(I28,$I$6:$J$8,2,FALSE),"Select freq")</f>
        <v/>
      </c>
      <c r="K28" s="16" t="inlineStr">
        <is>
          <t>Approved</t>
        </is>
      </c>
      <c r="L28" s="52" t="n">
        <v>44743</v>
      </c>
      <c r="M28" s="53" t="n">
        <v>0.097</v>
      </c>
      <c r="N28" s="53" t="n"/>
      <c r="O28" s="53" t="n"/>
      <c r="P28" s="53" t="n"/>
      <c r="Q28" s="54" t="n">
        <v>100951.784953993</v>
      </c>
      <c r="R28" s="54" t="n">
        <v>82628.1421142062</v>
      </c>
      <c r="S28" s="54" t="n">
        <v>109869.841717158</v>
      </c>
      <c r="T28" s="54" t="n">
        <v>191443.670867386</v>
      </c>
      <c r="U28" s="54" t="n">
        <v>80305.7651589173</v>
      </c>
      <c r="V28" s="54" t="n">
        <v>114924.799845592</v>
      </c>
      <c r="W28" s="54" t="n">
        <v>86774.43754865541</v>
      </c>
      <c r="X28" s="54" t="n">
        <v>86774.43754865541</v>
      </c>
      <c r="Y28" s="54" t="n">
        <v>132147.741865769</v>
      </c>
      <c r="Z28" s="54" t="n">
        <v>108468.046935819</v>
      </c>
      <c r="AA28" s="54" t="n">
        <v>159086.468839201</v>
      </c>
      <c r="AB28" s="54" t="n">
        <v>159086.468839201</v>
      </c>
      <c r="AC28" s="55">
        <f>+SUM(Q28:AB28)</f>
        <v/>
      </c>
      <c r="AD28" s="54">
        <f>IF(ISNUMBER(Q28),Q28*(1+IF($I$5=1,0.1,IF($I$5=4,0.075,0.0875))),"")</f>
        <v/>
      </c>
      <c r="AE28" s="54">
        <f>IF(ISNUMBER(R28),R28*(1+IF($I$5=1,0.1,IF($I$5=4,0.075,0.0875))),"")</f>
        <v/>
      </c>
      <c r="AF28" s="54">
        <f>IF(ISNUMBER(S28),S28*(1+IF($I$5=1,0.1,IF($I$5=4,0.075,0.0875))),"")</f>
        <v/>
      </c>
      <c r="AG28" s="54">
        <f>IF(ISNUMBER(T28),T28*(1+IF($I$5=1,0.1,IF($I$5=4,0.075,0.0875))),"")</f>
        <v/>
      </c>
      <c r="AH28" s="54">
        <f>IF(ISNUMBER(U28),U28*(1+IF($I$5=1,0.1,IF($I$5=4,0.075,0.0875))),"")</f>
        <v/>
      </c>
      <c r="AI28" s="54">
        <f>IF(ISNUMBER(V28),V28*(1+IF($I$5=1,0.1,IF($I$5=4,0.075,0.0875))),"")</f>
        <v/>
      </c>
      <c r="AJ28" s="54">
        <f>IF(ISNUMBER(W28),W28*(1+IF($I$5=1,0.1,IF($I$5=4,0.075,0.0875))),"")</f>
        <v/>
      </c>
      <c r="AK28" s="54">
        <f>IF(ISNUMBER(X28),X28*(1+IF($I$5=1,0.1,IF($I$5=4,0.075,0.0875))),"")</f>
        <v/>
      </c>
      <c r="AL28" s="54">
        <f>IF(ISNUMBER(Y28),Y28*(1+IF($I$5=1,0.1,IF($I$5=4,0.075,0.0875))),"")</f>
        <v/>
      </c>
      <c r="AM28" s="54">
        <f>IF(ISNUMBER(Z28),Z28*(1+IF($I$5=1,0.1,IF($I$5=4,0.075,0.0875))),"")</f>
        <v/>
      </c>
      <c r="AN28" s="54">
        <f>IF(ISNUMBER(AA28),AA28*(1+IF($I$5=1,0.1,IF($I$5=4,0.075,0.0875))),"")</f>
        <v/>
      </c>
      <c r="AO28" s="54">
        <f>IF(ISNUMBER(AB28),AB28*(1+IF($I$5=1,0.1,IF($I$5=4,0.075,0.0875))),"")</f>
        <v/>
      </c>
      <c r="AP28" s="55">
        <f>+SUM(AD28:AO28)</f>
        <v/>
      </c>
      <c r="AQ28" s="55">
        <f>+AP28-AC28</f>
        <v/>
      </c>
      <c r="AR28" s="57">
        <f>+AQ28/AC28</f>
        <v/>
      </c>
      <c r="AS28" s="8" t="n"/>
      <c r="AY28" s="4">
        <f>L28</f>
        <v/>
      </c>
      <c r="AZ28" s="39">
        <f>M28</f>
        <v/>
      </c>
    </row>
    <row r="29">
      <c r="C29" s="8" t="n"/>
      <c r="D29" s="8" t="n"/>
      <c r="E29" s="8" t="n"/>
      <c r="F29" s="8" t="n"/>
      <c r="G29" s="8" t="n"/>
      <c r="H29" s="8" t="n"/>
      <c r="I29" s="12" t="inlineStr">
        <is>
          <t>Annually</t>
        </is>
      </c>
      <c r="J29" s="12">
        <f>IFERROR(VLOOKUP(I29,$I$6:$J$8,2,FALSE),"Select freq")</f>
        <v/>
      </c>
      <c r="K29" s="16" t="inlineStr">
        <is>
          <t>Approved</t>
        </is>
      </c>
      <c r="L29" s="52" t="n">
        <v>44743</v>
      </c>
      <c r="M29" s="53" t="n">
        <v>0.097</v>
      </c>
      <c r="N29" s="53" t="n"/>
      <c r="O29" s="53" t="n"/>
      <c r="P29" s="53" t="n"/>
      <c r="Q29" s="54" t="n">
        <v>324085.635659723</v>
      </c>
      <c r="R29" s="54" t="n">
        <v>200823.739974187</v>
      </c>
      <c r="S29" s="54" t="n">
        <v>390130.171931535</v>
      </c>
      <c r="T29" s="54" t="n">
        <v>359753.719847441</v>
      </c>
      <c r="U29" s="54" t="n">
        <v>218339.456140079</v>
      </c>
      <c r="V29" s="54" t="n">
        <v>309797.286540291</v>
      </c>
      <c r="W29" s="54" t="n">
        <v>361152</v>
      </c>
      <c r="X29" s="54" t="n">
        <v>281952</v>
      </c>
      <c r="Y29" s="54" t="n">
        <v>339908.581578548</v>
      </c>
      <c r="Z29" s="54" t="n">
        <v>378000</v>
      </c>
      <c r="AA29" s="54" t="n">
        <v>445302</v>
      </c>
      <c r="AB29" s="54" t="n">
        <v>445302</v>
      </c>
      <c r="AC29" s="55">
        <f>+SUM(Q29:AB29)</f>
        <v/>
      </c>
      <c r="AD29" s="54">
        <f>IF(ISNUMBER(Q29),Q29*(1+IF($I$5=1,0.1,IF($I$5=4,0.075,0.0875))),"")</f>
        <v/>
      </c>
      <c r="AE29" s="54">
        <f>IF(ISNUMBER(R29),R29*(1+IF($I$5=1,0.1,IF($I$5=4,0.075,0.0875))),"")</f>
        <v/>
      </c>
      <c r="AF29" s="54">
        <f>IF(ISNUMBER(S29),S29*(1+IF($I$5=1,0.1,IF($I$5=4,0.075,0.0875))),"")</f>
        <v/>
      </c>
      <c r="AG29" s="54">
        <f>IF(ISNUMBER(T29),T29*(1+IF($I$5=1,0.1,IF($I$5=4,0.075,0.0875))),"")</f>
        <v/>
      </c>
      <c r="AH29" s="54">
        <f>IF(ISNUMBER(U29),U29*(1+IF($I$5=1,0.1,IF($I$5=4,0.075,0.0875))),"")</f>
        <v/>
      </c>
      <c r="AI29" s="54">
        <f>IF(ISNUMBER(V29),V29*(1+IF($I$5=1,0.1,IF($I$5=4,0.075,0.0875))),"")</f>
        <v/>
      </c>
      <c r="AJ29" s="54">
        <f>IF(ISNUMBER(W29),W29*(1+IF($I$5=1,0.1,IF($I$5=4,0.075,0.0875))),"")</f>
        <v/>
      </c>
      <c r="AK29" s="54">
        <f>IF(ISNUMBER(X29),X29*(1+IF($I$5=1,0.1,IF($I$5=4,0.075,0.0875))),"")</f>
        <v/>
      </c>
      <c r="AL29" s="54">
        <f>IF(ISNUMBER(Y29),Y29*(1+IF($I$5=1,0.1,IF($I$5=4,0.075,0.0875))),"")</f>
        <v/>
      </c>
      <c r="AM29" s="54">
        <f>IF(ISNUMBER(Z29),Z29*(1+IF($I$5=1,0.1,IF($I$5=4,0.075,0.0875))),"")</f>
        <v/>
      </c>
      <c r="AN29" s="54">
        <f>IF(ISNUMBER(AA29),AA29*(1+IF($I$5=1,0.1,IF($I$5=4,0.075,0.0875))),"")</f>
        <v/>
      </c>
      <c r="AO29" s="54">
        <f>IF(ISNUMBER(AB29),AB29*(1+IF($I$5=1,0.1,IF($I$5=4,0.075,0.0875))),"")</f>
        <v/>
      </c>
      <c r="AP29" s="55">
        <f>+SUM(AD29:AO29)</f>
        <v/>
      </c>
      <c r="AQ29" s="55">
        <f>+AP29-AC29</f>
        <v/>
      </c>
      <c r="AR29" s="57">
        <f>+AQ29/AC29</f>
        <v/>
      </c>
      <c r="AS29" s="8" t="inlineStr">
        <is>
          <t>- new price based on RFP bid</t>
        </is>
      </c>
      <c r="AY29" s="4">
        <f>L29</f>
        <v/>
      </c>
      <c r="AZ29" s="39">
        <f>M29</f>
        <v/>
      </c>
    </row>
    <row r="30">
      <c r="C30" s="8" t="n"/>
      <c r="D30" s="8" t="n"/>
      <c r="E30" s="8" t="n"/>
      <c r="F30" s="8" t="n"/>
      <c r="G30" s="8" t="n"/>
      <c r="H30" s="8" t="n"/>
      <c r="I30" s="12" t="n"/>
      <c r="J30" s="12">
        <f>IFERROR(VLOOKUP(I30,$I$6:$J$8,2,FALSE),"Select freq")</f>
        <v/>
      </c>
      <c r="K30" s="16" t="n"/>
      <c r="L30" s="52" t="n"/>
      <c r="M30" s="58" t="n"/>
      <c r="N30" s="58" t="n"/>
      <c r="O30" s="58" t="n"/>
      <c r="P30" s="58" t="n"/>
      <c r="Q30" s="54" t="n">
        <v>105652.975741845</v>
      </c>
      <c r="R30" s="54" t="n">
        <v>116633.555126344</v>
      </c>
      <c r="S30" s="54" t="n">
        <v>405059.516520991</v>
      </c>
      <c r="T30" s="54" t="n">
        <v>195308.81487709</v>
      </c>
      <c r="U30" s="54" t="n">
        <v>228262.428283959</v>
      </c>
      <c r="V30" s="54" t="n">
        <v>244880.356504887</v>
      </c>
      <c r="W30" s="54" t="n">
        <v>225637.163215935</v>
      </c>
      <c r="X30" s="54" t="n">
        <v>225637.163215935</v>
      </c>
      <c r="Y30" s="54" t="n">
        <v>249905.533073105</v>
      </c>
      <c r="Z30" s="54" t="n">
        <v>256375.326184397</v>
      </c>
      <c r="AA30" s="54" t="n">
        <v>282012.858802837</v>
      </c>
      <c r="AB30" s="54" t="n">
        <v>282012.858802837</v>
      </c>
      <c r="AC30" s="55">
        <f>+SUM(Q30:AB30)</f>
        <v/>
      </c>
      <c r="AD30" s="54">
        <f>IF(ISNUMBER(Q30),Q30*(1+IF($I$5=1,0.1,IF($I$5=4,0.075,0.0875))),"")</f>
        <v/>
      </c>
      <c r="AE30" s="54">
        <f>IF(ISNUMBER(R30),R30*(1+IF($I$5=1,0.1,IF($I$5=4,0.075,0.0875))),"")</f>
        <v/>
      </c>
      <c r="AF30" s="54">
        <f>IF(ISNUMBER(S30),S30*(1+IF($I$5=1,0.1,IF($I$5=4,0.075,0.0875))),"")</f>
        <v/>
      </c>
      <c r="AG30" s="54">
        <f>IF(ISNUMBER(T30),T30*(1+IF($I$5=1,0.1,IF($I$5=4,0.075,0.0875))),"")</f>
        <v/>
      </c>
      <c r="AH30" s="54">
        <f>IF(ISNUMBER(U30),U30*(1+IF($I$5=1,0.1,IF($I$5=4,0.075,0.0875))),"")</f>
        <v/>
      </c>
      <c r="AI30" s="54">
        <f>IF(ISNUMBER(V30),V30*(1+IF($I$5=1,0.1,IF($I$5=4,0.075,0.0875))),"")</f>
        <v/>
      </c>
      <c r="AJ30" s="54">
        <f>IF(ISNUMBER(W30),W30*(1+IF($I$5=1,0.1,IF($I$5=4,0.075,0.0875))),"")</f>
        <v/>
      </c>
      <c r="AK30" s="54">
        <f>IF(ISNUMBER(X30),X30*(1+IF($I$5=1,0.1,IF($I$5=4,0.075,0.0875))),"")</f>
        <v/>
      </c>
      <c r="AL30" s="54">
        <f>IF(ISNUMBER(Y30),Y30*(1+IF($I$5=1,0.1,IF($I$5=4,0.075,0.0875))),"")</f>
        <v/>
      </c>
      <c r="AM30" s="54">
        <f>IF(ISNUMBER(Z30),Z30*(1+IF($I$5=1,0.1,IF($I$5=4,0.075,0.0875))),"")</f>
        <v/>
      </c>
      <c r="AN30" s="54">
        <f>IF(ISNUMBER(AA30),AA30*(1+IF($I$5=1,0.1,IF($I$5=4,0.075,0.0875))),"")</f>
        <v/>
      </c>
      <c r="AO30" s="54">
        <f>IF(ISNUMBER(AB30),AB30*(1+IF($I$5=1,0.1,IF($I$5=4,0.075,0.0875))),"")</f>
        <v/>
      </c>
      <c r="AP30" s="55">
        <f>+SUM(AD30:AO30)</f>
        <v/>
      </c>
      <c r="AQ30" s="55">
        <f>+AP30-AC30</f>
        <v/>
      </c>
      <c r="AR30" s="57">
        <f>+AQ30/AC30</f>
        <v/>
      </c>
      <c r="AS30" s="8" t="n"/>
      <c r="AY30" s="4">
        <f>L30</f>
        <v/>
      </c>
      <c r="AZ30" s="39">
        <f>M30</f>
        <v/>
      </c>
    </row>
    <row r="31">
      <c r="C31" s="8" t="n"/>
      <c r="D31" s="8" t="n"/>
      <c r="E31" s="8" t="n"/>
      <c r="F31" s="8" t="n"/>
      <c r="G31" s="8" t="n"/>
      <c r="H31" s="8" t="n"/>
      <c r="I31" s="12" t="inlineStr">
        <is>
          <t>Annually</t>
        </is>
      </c>
      <c r="J31" s="12">
        <f>IFERROR(VLOOKUP(I31,$I$6:$J$8,2,FALSE),"Select freq")</f>
        <v/>
      </c>
      <c r="K31" s="16" t="inlineStr">
        <is>
          <t>Approved</t>
        </is>
      </c>
      <c r="L31" s="52" t="n">
        <v>44743</v>
      </c>
      <c r="M31" s="53" t="n">
        <v>0.097</v>
      </c>
      <c r="N31" s="53" t="n"/>
      <c r="O31" s="53" t="n"/>
      <c r="P31" s="53" t="n"/>
      <c r="Q31" s="54" t="n">
        <v>502269.663154333</v>
      </c>
      <c r="R31" s="54" t="n">
        <v>502269.663154333</v>
      </c>
      <c r="S31" s="54" t="n">
        <v>581575.39944186</v>
      </c>
      <c r="T31" s="54" t="n">
        <v>528704.908583509</v>
      </c>
      <c r="U31" s="54" t="n">
        <v>528704.908583509</v>
      </c>
      <c r="V31" s="54" t="n">
        <v>528359.180837753</v>
      </c>
      <c r="W31" s="54" t="n">
        <v>380667.534180127</v>
      </c>
      <c r="X31" s="54" t="n">
        <v>380667.534180127</v>
      </c>
      <c r="Y31" s="54" t="n">
        <v>579713.985645924</v>
      </c>
      <c r="Z31" s="54" t="n">
        <v>475834.417725159</v>
      </c>
      <c r="AA31" s="54" t="n">
        <v>697890.479330232</v>
      </c>
      <c r="AB31" s="54" t="n">
        <v>697890.479330232</v>
      </c>
      <c r="AC31" s="55">
        <f>+SUM(Q31:AB31)</f>
        <v/>
      </c>
      <c r="AD31" s="54">
        <f>IF(ISNUMBER(Q31),Q31*(1+IF($I$5=1,0.1,IF($I$5=4,0.075,0.0875))),"")</f>
        <v/>
      </c>
      <c r="AE31" s="54">
        <f>IF(ISNUMBER(R31),R31*(1+IF($I$5=1,0.1,IF($I$5=4,0.075,0.0875))),"")</f>
        <v/>
      </c>
      <c r="AF31" s="54">
        <f>IF(ISNUMBER(S31),S31*(1+IF($I$5=1,0.1,IF($I$5=4,0.075,0.0875))),"")</f>
        <v/>
      </c>
      <c r="AG31" s="54">
        <f>IF(ISNUMBER(T31),T31*(1+IF($I$5=1,0.1,IF($I$5=4,0.075,0.0875))),"")</f>
        <v/>
      </c>
      <c r="AH31" s="54">
        <f>IF(ISNUMBER(U31),U31*(1+IF($I$5=1,0.1,IF($I$5=4,0.075,0.0875))),"")</f>
        <v/>
      </c>
      <c r="AI31" s="54">
        <f>IF(ISNUMBER(V31),V31*(1+IF($I$5=1,0.1,IF($I$5=4,0.075,0.0875))),"")</f>
        <v/>
      </c>
      <c r="AJ31" s="54">
        <f>IF(ISNUMBER(W31),W31*(1+IF($I$5=1,0.1,IF($I$5=4,0.075,0.0875))),"")</f>
        <v/>
      </c>
      <c r="AK31" s="54">
        <f>IF(ISNUMBER(X31),X31*(1+IF($I$5=1,0.1,IF($I$5=4,0.075,0.0875))),"")</f>
        <v/>
      </c>
      <c r="AL31" s="54">
        <f>IF(ISNUMBER(Y31),Y31*(1+IF($I$5=1,0.1,IF($I$5=4,0.075,0.0875))),"")</f>
        <v/>
      </c>
      <c r="AM31" s="54">
        <f>IF(ISNUMBER(Z31),Z31*(1+IF($I$5=1,0.1,IF($I$5=4,0.075,0.0875))),"")</f>
        <v/>
      </c>
      <c r="AN31" s="54">
        <f>IF(ISNUMBER(AA31),AA31*(1+IF($I$5=1,0.1,IF($I$5=4,0.075,0.0875))),"")</f>
        <v/>
      </c>
      <c r="AO31" s="54">
        <f>IF(ISNUMBER(AB31),AB31*(1+IF($I$5=1,0.1,IF($I$5=4,0.075,0.0875))),"")</f>
        <v/>
      </c>
      <c r="AP31" s="55">
        <f>+SUM(AD31:AO31)</f>
        <v/>
      </c>
      <c r="AQ31" s="55">
        <f>+AP31-AC31</f>
        <v/>
      </c>
      <c r="AR31" s="57">
        <f>+AQ31/AC31</f>
        <v/>
      </c>
      <c r="AS31" s="8" t="inlineStr">
        <is>
          <t>- GFS &amp; Sysco have approved</t>
        </is>
      </c>
      <c r="AY31" s="4">
        <f>L31</f>
        <v/>
      </c>
      <c r="AZ31" s="39">
        <f>M31</f>
        <v/>
      </c>
    </row>
    <row r="32">
      <c r="C32" s="8" t="n"/>
      <c r="D32" s="8" t="n"/>
      <c r="E32" s="8" t="n"/>
      <c r="F32" s="8" t="n"/>
      <c r="G32" s="8" t="n"/>
      <c r="H32" s="8" t="n"/>
      <c r="I32" s="12" t="inlineStr">
        <is>
          <t>Annually</t>
        </is>
      </c>
      <c r="J32" s="12">
        <f>IFERROR(VLOOKUP(I32,$I$6:$J$8,2,FALSE),"Select freq")</f>
        <v/>
      </c>
      <c r="K32" s="16" t="inlineStr">
        <is>
          <t>Approved</t>
        </is>
      </c>
      <c r="L32" s="52" t="n">
        <v>44743</v>
      </c>
      <c r="M32" s="53" t="n">
        <v>0.097</v>
      </c>
      <c r="N32" s="53" t="n"/>
      <c r="O32" s="53" t="n"/>
      <c r="P32" s="53" t="n"/>
      <c r="Q32" s="54" t="n">
        <v>8914.11797272267</v>
      </c>
      <c r="R32" s="54" t="n">
        <v>28332.4614277009</v>
      </c>
      <c r="S32" s="54" t="n">
        <v>26602.2275979506</v>
      </c>
      <c r="T32" s="54" t="n">
        <v>18133.6559385533</v>
      </c>
      <c r="U32" s="54" t="n">
        <v>23451.1964325932</v>
      </c>
      <c r="V32" s="54" t="n">
        <v>24983.652140346</v>
      </c>
      <c r="W32" s="54" t="n">
        <v>19570.1702713339</v>
      </c>
      <c r="X32" s="54" t="n">
        <v>19570.1702713339</v>
      </c>
      <c r="Y32" s="54" t="n">
        <v>29803.1757086908</v>
      </c>
      <c r="Z32" s="54" t="n">
        <v>24462.7128391675</v>
      </c>
      <c r="AA32" s="54" t="n">
        <v>35878.6454974456</v>
      </c>
      <c r="AB32" s="54" t="n">
        <v>35878.6454974456</v>
      </c>
      <c r="AC32" s="55">
        <f>+SUM(Q32:AB32)</f>
        <v/>
      </c>
      <c r="AD32" s="54">
        <f>IF(ISNUMBER(Q32),Q32*(1+IF($I$5=1,0.1,IF($I$5=4,0.075,0.0875))),"")</f>
        <v/>
      </c>
      <c r="AE32" s="54">
        <f>IF(ISNUMBER(R32),R32*(1+IF($I$5=1,0.1,IF($I$5=4,0.075,0.0875))),"")</f>
        <v/>
      </c>
      <c r="AF32" s="54">
        <f>IF(ISNUMBER(S32),S32*(1+IF($I$5=1,0.1,IF($I$5=4,0.075,0.0875))),"")</f>
        <v/>
      </c>
      <c r="AG32" s="54">
        <f>IF(ISNUMBER(T32),T32*(1+IF($I$5=1,0.1,IF($I$5=4,0.075,0.0875))),"")</f>
        <v/>
      </c>
      <c r="AH32" s="54">
        <f>IF(ISNUMBER(U32),U32*(1+IF($I$5=1,0.1,IF($I$5=4,0.075,0.0875))),"")</f>
        <v/>
      </c>
      <c r="AI32" s="54">
        <f>IF(ISNUMBER(V32),V32*(1+IF($I$5=1,0.1,IF($I$5=4,0.075,0.0875))),"")</f>
        <v/>
      </c>
      <c r="AJ32" s="54">
        <f>IF(ISNUMBER(W32),W32*(1+IF($I$5=1,0.1,IF($I$5=4,0.075,0.0875))),"")</f>
        <v/>
      </c>
      <c r="AK32" s="54">
        <f>IF(ISNUMBER(X32),X32*(1+IF($I$5=1,0.1,IF($I$5=4,0.075,0.0875))),"")</f>
        <v/>
      </c>
      <c r="AL32" s="54">
        <f>IF(ISNUMBER(Y32),Y32*(1+IF($I$5=1,0.1,IF($I$5=4,0.075,0.0875))),"")</f>
        <v/>
      </c>
      <c r="AM32" s="54">
        <f>IF(ISNUMBER(Z32),Z32*(1+IF($I$5=1,0.1,IF($I$5=4,0.075,0.0875))),"")</f>
        <v/>
      </c>
      <c r="AN32" s="54">
        <f>IF(ISNUMBER(AA32),AA32*(1+IF($I$5=1,0.1,IF($I$5=4,0.075,0.0875))),"")</f>
        <v/>
      </c>
      <c r="AO32" s="54">
        <f>IF(ISNUMBER(AB32),AB32*(1+IF($I$5=1,0.1,IF($I$5=4,0.075,0.0875))),"")</f>
        <v/>
      </c>
      <c r="AP32" s="55">
        <f>+SUM(AD32:AO32)</f>
        <v/>
      </c>
      <c r="AQ32" s="55">
        <f>+AP32-AC32</f>
        <v/>
      </c>
      <c r="AR32" s="57">
        <f>+AQ32/AC32</f>
        <v/>
      </c>
      <c r="AS32" s="8" t="n"/>
      <c r="AY32" s="4">
        <f>L32</f>
        <v/>
      </c>
      <c r="AZ32" s="39">
        <f>M32</f>
        <v/>
      </c>
    </row>
    <row r="33">
      <c r="C33" s="8" t="n"/>
      <c r="D33" s="8" t="n"/>
      <c r="E33" s="8" t="n"/>
      <c r="F33" s="8" t="n"/>
      <c r="G33" s="8" t="n"/>
      <c r="H33" s="8" t="n"/>
      <c r="I33" s="12" t="inlineStr">
        <is>
          <t>Annually</t>
        </is>
      </c>
      <c r="J33" s="12">
        <f>IFERROR(VLOOKUP(I33,$I$6:$J$8,2,FALSE),"Select freq")</f>
        <v/>
      </c>
      <c r="K33" s="16" t="inlineStr">
        <is>
          <t>Approved</t>
        </is>
      </c>
      <c r="L33" s="52" t="n">
        <v>44743</v>
      </c>
      <c r="M33" s="53" t="n">
        <v>0.097</v>
      </c>
      <c r="N33" s="53" t="n"/>
      <c r="O33" s="53" t="n"/>
      <c r="P33" s="53" t="n"/>
      <c r="Q33" s="54" t="n">
        <v>75000</v>
      </c>
      <c r="R33" s="54" t="n">
        <v>75000</v>
      </c>
      <c r="S33" s="54" t="n">
        <v>75000</v>
      </c>
      <c r="T33" s="54" t="n">
        <v>75000</v>
      </c>
      <c r="U33" s="54" t="n">
        <v>75000</v>
      </c>
      <c r="V33" s="54" t="n">
        <v>75000</v>
      </c>
      <c r="W33" s="54" t="n">
        <v>75000</v>
      </c>
      <c r="X33" s="54" t="n">
        <v>75000</v>
      </c>
      <c r="Y33" s="54" t="n">
        <v>75000</v>
      </c>
      <c r="Z33" s="54" t="n">
        <v>75000</v>
      </c>
      <c r="AA33" s="54" t="n">
        <v>75000</v>
      </c>
      <c r="AB33" s="54" t="n">
        <v>75000</v>
      </c>
      <c r="AC33" s="55">
        <f>+SUM(Q33:AB33)</f>
        <v/>
      </c>
      <c r="AD33" s="54">
        <f>IF(ISNUMBER(Q33),Q33*(1+IF($I$5=1,0.1,IF($I$5=4,0.075,0.0875))),"")</f>
        <v/>
      </c>
      <c r="AE33" s="54">
        <f>IF(ISNUMBER(R33),R33*(1+IF($I$5=1,0.1,IF($I$5=4,0.075,0.0875))),"")</f>
        <v/>
      </c>
      <c r="AF33" s="54">
        <f>IF(ISNUMBER(S33),S33*(1+IF($I$5=1,0.1,IF($I$5=4,0.075,0.0875))),"")</f>
        <v/>
      </c>
      <c r="AG33" s="54">
        <f>IF(ISNUMBER(T33),T33*(1+IF($I$5=1,0.1,IF($I$5=4,0.075,0.0875))),"")</f>
        <v/>
      </c>
      <c r="AH33" s="54">
        <f>IF(ISNUMBER(U33),U33*(1+IF($I$5=1,0.1,IF($I$5=4,0.075,0.0875))),"")</f>
        <v/>
      </c>
      <c r="AI33" s="54">
        <f>IF(ISNUMBER(V33),V33*(1+IF($I$5=1,0.1,IF($I$5=4,0.075,0.0875))),"")</f>
        <v/>
      </c>
      <c r="AJ33" s="54">
        <f>IF(ISNUMBER(W33),W33*(1+IF($I$5=1,0.1,IF($I$5=4,0.075,0.0875))),"")</f>
        <v/>
      </c>
      <c r="AK33" s="54">
        <f>IF(ISNUMBER(X33),X33*(1+IF($I$5=1,0.1,IF($I$5=4,0.075,0.0875))),"")</f>
        <v/>
      </c>
      <c r="AL33" s="54">
        <f>IF(ISNUMBER(Y33),Y33*(1+IF($I$5=1,0.1,IF($I$5=4,0.075,0.0875))),"")</f>
        <v/>
      </c>
      <c r="AM33" s="54">
        <f>IF(ISNUMBER(Z33),Z33*(1+IF($I$5=1,0.1,IF($I$5=4,0.075,0.0875))),"")</f>
        <v/>
      </c>
      <c r="AN33" s="54">
        <f>IF(ISNUMBER(AA33),AA33*(1+IF($I$5=1,0.1,IF($I$5=4,0.075,0.0875))),"")</f>
        <v/>
      </c>
      <c r="AO33" s="54">
        <f>IF(ISNUMBER(AB33),AB33*(1+IF($I$5=1,0.1,IF($I$5=4,0.075,0.0875))),"")</f>
        <v/>
      </c>
      <c r="AP33" s="55">
        <f>+SUM(AD33:AO33)</f>
        <v/>
      </c>
      <c r="AQ33" s="55">
        <f>+AP33-AC33</f>
        <v/>
      </c>
      <c r="AR33" s="57">
        <f>+AQ33/AC33</f>
        <v/>
      </c>
      <c r="AS33" s="8" t="n"/>
      <c r="AY33" s="4">
        <f>L33</f>
        <v/>
      </c>
      <c r="AZ33" s="39">
        <f>M33</f>
        <v/>
      </c>
    </row>
    <row r="34">
      <c r="C34" s="8" t="n"/>
      <c r="D34" s="8" t="n"/>
      <c r="E34" s="8" t="n"/>
      <c r="F34" s="8" t="n"/>
      <c r="G34" s="8" t="n"/>
      <c r="H34" s="8" t="n"/>
      <c r="I34" s="12" t="inlineStr">
        <is>
          <t>Annually</t>
        </is>
      </c>
      <c r="J34" s="12">
        <f>IFERROR(VLOOKUP(I34,$I$6:$J$8,2,FALSE),"Select freq")</f>
        <v/>
      </c>
      <c r="K34" s="16" t="n"/>
      <c r="L34" s="52" t="n">
        <v>44743</v>
      </c>
      <c r="M34" s="53" t="n">
        <v>0.08</v>
      </c>
      <c r="N34" s="53" t="n"/>
      <c r="O34" s="53" t="n"/>
      <c r="P34" s="53" t="n"/>
      <c r="Q34" s="54" t="n">
        <v>726571.075392352</v>
      </c>
      <c r="R34" s="54" t="n">
        <v>722989.2857317179</v>
      </c>
      <c r="S34" s="54" t="n">
        <v>829308.055352238</v>
      </c>
      <c r="T34" s="54" t="n">
        <v>873268.3209508359</v>
      </c>
      <c r="U34" s="54" t="n">
        <v>869159.053080205</v>
      </c>
      <c r="V34" s="54" t="n">
        <v>871358.498534294</v>
      </c>
      <c r="W34" s="54" t="n">
        <v>601904.5725375341</v>
      </c>
      <c r="X34" s="54" t="n">
        <v>615475.130726533</v>
      </c>
      <c r="Y34" s="54" t="n">
        <v>846832.363869071</v>
      </c>
      <c r="Z34" s="54" t="n">
        <v>879880.964315874</v>
      </c>
      <c r="AA34" s="54" t="n">
        <v>1154791.26658907</v>
      </c>
      <c r="AB34" s="54" t="n">
        <v>1182432.85942767</v>
      </c>
      <c r="AC34" s="55">
        <f>+SUM(Q34:AB34)</f>
        <v/>
      </c>
      <c r="AD34" s="54">
        <f>IF(ISNUMBER(Q34),Q34*(1+IF($I$5=1,0.1,IF($I$5=4,0.075,0.0875))),"")</f>
        <v/>
      </c>
      <c r="AE34" s="54">
        <f>IF(ISNUMBER(R34),R34*(1+IF($I$5=1,0.1,IF($I$5=4,0.075,0.0875))),"")</f>
        <v/>
      </c>
      <c r="AF34" s="54">
        <f>IF(ISNUMBER(S34),S34*(1+IF($I$5=1,0.1,IF($I$5=4,0.075,0.0875))),"")</f>
        <v/>
      </c>
      <c r="AG34" s="54">
        <f>IF(ISNUMBER(T34),T34*(1+IF($I$5=1,0.1,IF($I$5=4,0.075,0.0875))),"")</f>
        <v/>
      </c>
      <c r="AH34" s="54">
        <f>IF(ISNUMBER(U34),U34*(1+IF($I$5=1,0.1,IF($I$5=4,0.075,0.0875))),"")</f>
        <v/>
      </c>
      <c r="AI34" s="54">
        <f>IF(ISNUMBER(V34),V34*(1+IF($I$5=1,0.1,IF($I$5=4,0.075,0.0875))),"")</f>
        <v/>
      </c>
      <c r="AJ34" s="54">
        <f>IF(ISNUMBER(W34),W34*(1+IF($I$5=1,0.1,IF($I$5=4,0.075,0.0875))),"")</f>
        <v/>
      </c>
      <c r="AK34" s="54">
        <f>IF(ISNUMBER(X34),X34*(1+IF($I$5=1,0.1,IF($I$5=4,0.075,0.0875))),"")</f>
        <v/>
      </c>
      <c r="AL34" s="54">
        <f>IF(ISNUMBER(Y34),Y34*(1+IF($I$5=1,0.1,IF($I$5=4,0.075,0.0875))),"")</f>
        <v/>
      </c>
      <c r="AM34" s="54">
        <f>IF(ISNUMBER(Z34),Z34*(1+IF($I$5=1,0.1,IF($I$5=4,0.075,0.0875))),"")</f>
        <v/>
      </c>
      <c r="AN34" s="54">
        <f>IF(ISNUMBER(AA34),AA34*(1+IF($I$5=1,0.1,IF($I$5=4,0.075,0.0875))),"")</f>
        <v/>
      </c>
      <c r="AO34" s="54">
        <f>IF(ISNUMBER(AB34),AB34*(1+IF($I$5=1,0.1,IF($I$5=4,0.075,0.0875))),"")</f>
        <v/>
      </c>
      <c r="AP34" s="55">
        <f>+SUM(AD34:AO34)</f>
        <v/>
      </c>
      <c r="AQ34" s="55">
        <f>+AP34-AC34</f>
        <v/>
      </c>
      <c r="AR34" s="57">
        <f>+AQ34/AC34</f>
        <v/>
      </c>
      <c r="AS34" s="8" t="inlineStr">
        <is>
          <t>- submitted new cost change form (Apr 26)</t>
        </is>
      </c>
      <c r="AY34" s="4">
        <f>L34</f>
        <v/>
      </c>
      <c r="AZ34" s="39">
        <f>M34</f>
        <v/>
      </c>
    </row>
    <row r="35">
      <c r="C35" s="8" t="n"/>
      <c r="D35" s="8" t="n"/>
      <c r="E35" s="8" t="n"/>
      <c r="F35" s="8" t="n"/>
      <c r="G35" s="8" t="n"/>
      <c r="H35" s="8" t="n"/>
      <c r="I35" s="12" t="n"/>
      <c r="J35" s="12">
        <f>IFERROR(VLOOKUP(I35,$I$6:$J$8,2,FALSE),"Select freq")</f>
        <v/>
      </c>
      <c r="K35" s="16" t="n"/>
      <c r="L35" s="52" t="n"/>
      <c r="M35" s="58" t="n"/>
      <c r="N35" s="58" t="n"/>
      <c r="O35" s="58" t="n"/>
      <c r="P35" s="58" t="n"/>
      <c r="Q35" s="54" t="n">
        <v>0</v>
      </c>
      <c r="R35" s="54" t="n">
        <v>149521.5545</v>
      </c>
      <c r="S35" s="54" t="n">
        <v>570633.334594997</v>
      </c>
      <c r="T35" s="54" t="n">
        <v>578832.47</v>
      </c>
      <c r="U35" s="54" t="n">
        <v>171153.174281808</v>
      </c>
      <c r="V35" s="54" t="n">
        <v>0</v>
      </c>
      <c r="W35" s="54" t="n">
        <v>0</v>
      </c>
      <c r="X35" s="54" t="n">
        <v>0</v>
      </c>
      <c r="Y35" s="54" t="n">
        <v>0</v>
      </c>
      <c r="Z35" s="54" t="n">
        <v>0</v>
      </c>
      <c r="AA35" s="54" t="n">
        <v>0</v>
      </c>
      <c r="AB35" s="54" t="n">
        <v>0</v>
      </c>
      <c r="AC35" s="55">
        <f>+SUM(Q35:AB35)</f>
        <v/>
      </c>
      <c r="AD35" s="54">
        <f>IF(ISNUMBER(Q35),Q35*(1+IF($I$5=1,0.1,IF($I$5=4,0.075,0.0875))),"")</f>
        <v/>
      </c>
      <c r="AE35" s="54">
        <f>IF(ISNUMBER(R35),R35*(1+IF($I$5=1,0.1,IF($I$5=4,0.075,0.0875))),"")</f>
        <v/>
      </c>
      <c r="AF35" s="54">
        <f>IF(ISNUMBER(S35),S35*(1+IF($I$5=1,0.1,IF($I$5=4,0.075,0.0875))),"")</f>
        <v/>
      </c>
      <c r="AG35" s="54">
        <f>IF(ISNUMBER(T35),T35*(1+IF($I$5=1,0.1,IF($I$5=4,0.075,0.0875))),"")</f>
        <v/>
      </c>
      <c r="AH35" s="54">
        <f>IF(ISNUMBER(U35),U35*(1+IF($I$5=1,0.1,IF($I$5=4,0.075,0.0875))),"")</f>
        <v/>
      </c>
      <c r="AI35" s="54">
        <f>IF(ISNUMBER(V35),V35*(1+IF($I$5=1,0.1,IF($I$5=4,0.075,0.0875))),"")</f>
        <v/>
      </c>
      <c r="AJ35" s="54">
        <f>IF(ISNUMBER(W35),W35*(1+IF($I$5=1,0.1,IF($I$5=4,0.075,0.0875))),"")</f>
        <v/>
      </c>
      <c r="AK35" s="54">
        <f>IF(ISNUMBER(X35),X35*(1+IF($I$5=1,0.1,IF($I$5=4,0.075,0.0875))),"")</f>
        <v/>
      </c>
      <c r="AL35" s="54">
        <f>IF(ISNUMBER(Y35),Y35*(1+IF($I$5=1,0.1,IF($I$5=4,0.075,0.0875))),"")</f>
        <v/>
      </c>
      <c r="AM35" s="54">
        <f>IF(ISNUMBER(Z35),Z35*(1+IF($I$5=1,0.1,IF($I$5=4,0.075,0.0875))),"")</f>
        <v/>
      </c>
      <c r="AN35" s="54">
        <f>IF(ISNUMBER(AA35),AA35*(1+IF($I$5=1,0.1,IF($I$5=4,0.075,0.0875))),"")</f>
        <v/>
      </c>
      <c r="AO35" s="54">
        <f>IF(ISNUMBER(AB35),AB35*(1+IF($I$5=1,0.1,IF($I$5=4,0.075,0.0875))),"")</f>
        <v/>
      </c>
      <c r="AP35" s="55">
        <f>+SUM(AD35:AO35)</f>
        <v/>
      </c>
      <c r="AQ35" s="55">
        <f>+AP35-AC35</f>
        <v/>
      </c>
      <c r="AS35" s="8" t="inlineStr">
        <is>
          <t>3PL distribution change needed (LTL to 3PL) - Sept - Dec program</t>
        </is>
      </c>
      <c r="AY35" s="4">
        <f>L35</f>
        <v/>
      </c>
      <c r="AZ35" s="39">
        <f>M35</f>
        <v/>
      </c>
    </row>
    <row r="36">
      <c r="C36" s="8" t="n"/>
      <c r="D36" s="8" t="n"/>
      <c r="E36" s="8" t="n"/>
      <c r="F36" s="8" t="n"/>
      <c r="G36" s="8" t="n"/>
      <c r="H36" s="8" t="n"/>
      <c r="I36" s="12" t="inlineStr">
        <is>
          <t>Annually</t>
        </is>
      </c>
      <c r="J36" s="12">
        <f>IFERROR(VLOOKUP(I36,$I$6:$J$8,2,FALSE),"Select freq")</f>
        <v/>
      </c>
      <c r="K36" s="16" t="inlineStr">
        <is>
          <t>Approved</t>
        </is>
      </c>
      <c r="L36" s="52" t="n">
        <v>44713</v>
      </c>
      <c r="M36" s="58" t="n">
        <v>0.097</v>
      </c>
      <c r="N36" s="58" t="n"/>
      <c r="O36" s="58" t="n"/>
      <c r="P36" s="58" t="n"/>
      <c r="Q36" s="54" t="n">
        <v>591064.120608185</v>
      </c>
      <c r="R36" s="54" t="n">
        <v>527500.699269832</v>
      </c>
      <c r="S36" s="54" t="n">
        <v>529859.89856301</v>
      </c>
      <c r="T36" s="54" t="n">
        <v>518171.225875914</v>
      </c>
      <c r="U36" s="54" t="n">
        <v>401212.947418848</v>
      </c>
      <c r="V36" s="54" t="n">
        <v>529002.1217342709</v>
      </c>
      <c r="W36" s="54" t="n">
        <v>433816.269826027</v>
      </c>
      <c r="X36" s="54" t="n">
        <v>394540.786760297</v>
      </c>
      <c r="Y36" s="54" t="n">
        <v>510686.788480568</v>
      </c>
      <c r="Z36" s="54" t="n">
        <v>398218.021040772</v>
      </c>
      <c r="AA36" s="54" t="n">
        <v>475296.932221372</v>
      </c>
      <c r="AB36" s="54" t="n">
        <v>440668.113681892</v>
      </c>
      <c r="AC36" s="55">
        <f>+SUM(Q36:AB36)</f>
        <v/>
      </c>
      <c r="AD36" s="54">
        <f>IF(ISNUMBER(Q36),Q36*(1+IF($I$5=1,0.1,IF($I$5=4,0.075,0.0875))),"")</f>
        <v/>
      </c>
      <c r="AE36" s="54">
        <f>IF(ISNUMBER(R36),R36*(1+IF($I$5=1,0.1,IF($I$5=4,0.075,0.0875))),"")</f>
        <v/>
      </c>
      <c r="AF36" s="54">
        <f>IF(ISNUMBER(S36),S36*(1+IF($I$5=1,0.1,IF($I$5=4,0.075,0.0875))),"")</f>
        <v/>
      </c>
      <c r="AG36" s="54">
        <f>IF(ISNUMBER(T36),T36*(1+IF($I$5=1,0.1,IF($I$5=4,0.075,0.0875))),"")</f>
        <v/>
      </c>
      <c r="AH36" s="54">
        <f>IF(ISNUMBER(U36),U36*(1+IF($I$5=1,0.1,IF($I$5=4,0.075,0.0875))),"")</f>
        <v/>
      </c>
      <c r="AI36" s="54">
        <f>IF(ISNUMBER(V36),V36*(1+IF($I$5=1,0.1,IF($I$5=4,0.075,0.0875))),"")</f>
        <v/>
      </c>
      <c r="AJ36" s="54">
        <f>IF(ISNUMBER(W36),W36*(1+IF($I$5=1,0.1,IF($I$5=4,0.075,0.0875))),"")</f>
        <v/>
      </c>
      <c r="AK36" s="54">
        <f>IF(ISNUMBER(X36),X36*(1+IF($I$5=1,0.1,IF($I$5=4,0.075,0.0875))),"")</f>
        <v/>
      </c>
      <c r="AL36" s="54">
        <f>IF(ISNUMBER(Y36),Y36*(1+IF($I$5=1,0.1,IF($I$5=4,0.075,0.0875))),"")</f>
        <v/>
      </c>
      <c r="AM36" s="54">
        <f>IF(ISNUMBER(Z36),Z36*(1+IF($I$5=1,0.1,IF($I$5=4,0.075,0.0875))),"")</f>
        <v/>
      </c>
      <c r="AN36" s="54">
        <f>IF(ISNUMBER(AA36),AA36*(1+IF($I$5=1,0.1,IF($I$5=4,0.075,0.0875))),"")</f>
        <v/>
      </c>
      <c r="AO36" s="54">
        <f>IF(ISNUMBER(AB36),AB36*(1+IF($I$5=1,0.1,IF($I$5=4,0.075,0.0875))),"")</f>
        <v/>
      </c>
      <c r="AP36" s="55">
        <f>+SUM(AD36:AO36)</f>
        <v/>
      </c>
      <c r="AQ36" s="55">
        <f>+AP36-AC36</f>
        <v/>
      </c>
      <c r="AR36" s="57" t="n"/>
      <c r="AS36" s="8" t="inlineStr">
        <is>
          <t>Completed (will re-validate VA's and BOM's)</t>
        </is>
      </c>
      <c r="AY36" s="4">
        <f>L36</f>
        <v/>
      </c>
      <c r="AZ36" s="39">
        <f>M36</f>
        <v/>
      </c>
    </row>
    <row r="37">
      <c r="C37" s="8" t="n"/>
      <c r="D37" s="8" t="n"/>
      <c r="E37" s="8" t="n"/>
      <c r="F37" s="8" t="n"/>
      <c r="G37" s="8" t="n"/>
      <c r="H37" s="8" t="n"/>
      <c r="I37" s="12" t="n"/>
      <c r="J37" s="12">
        <f>IFERROR(VLOOKUP(I37,$I$6:$J$8,2,FALSE),"Select freq")</f>
        <v/>
      </c>
      <c r="K37" s="16" t="n"/>
      <c r="L37" s="52" t="n"/>
      <c r="M37" s="58" t="n"/>
      <c r="N37" s="58" t="n"/>
      <c r="O37" s="58" t="n"/>
      <c r="P37" s="58" t="n"/>
      <c r="Q37" s="54" t="n">
        <v>25956.2841530055</v>
      </c>
      <c r="R37" s="54" t="n">
        <v>25956.2841530055</v>
      </c>
      <c r="S37" s="54" t="n">
        <v>30054.6448087432</v>
      </c>
      <c r="T37" s="54" t="n">
        <v>27322.4043715847</v>
      </c>
      <c r="U37" s="54" t="n">
        <v>27322.4043715847</v>
      </c>
      <c r="V37" s="54" t="n">
        <v>27304.5378583017</v>
      </c>
      <c r="W37" s="54" t="n">
        <v>24590.1639344262</v>
      </c>
      <c r="X37" s="54" t="n">
        <v>24590.1639344262</v>
      </c>
      <c r="Y37" s="54" t="n">
        <v>27234.9551767181</v>
      </c>
      <c r="Z37" s="54" t="n">
        <v>27322.4043715847</v>
      </c>
      <c r="AA37" s="54" t="n">
        <v>30054.6448087432</v>
      </c>
      <c r="AB37" s="54" t="n">
        <v>30054.6448087432</v>
      </c>
      <c r="AC37" s="55">
        <f>+SUM(Q37:AB37)</f>
        <v/>
      </c>
      <c r="AD37" s="54">
        <f>IF(ISNUMBER(Q37),Q37*(1+IF($I$5=1,0.1,IF($I$5=4,0.075,0.0875))),"")</f>
        <v/>
      </c>
      <c r="AE37" s="54">
        <f>IF(ISNUMBER(R37),R37*(1+IF($I$5=1,0.1,IF($I$5=4,0.075,0.0875))),"")</f>
        <v/>
      </c>
      <c r="AF37" s="54">
        <f>IF(ISNUMBER(S37),S37*(1+IF($I$5=1,0.1,IF($I$5=4,0.075,0.0875))),"")</f>
        <v/>
      </c>
      <c r="AG37" s="54">
        <f>IF(ISNUMBER(T37),T37*(1+IF($I$5=1,0.1,IF($I$5=4,0.075,0.0875))),"")</f>
        <v/>
      </c>
      <c r="AH37" s="54">
        <f>IF(ISNUMBER(U37),U37*(1+IF($I$5=1,0.1,IF($I$5=4,0.075,0.0875))),"")</f>
        <v/>
      </c>
      <c r="AI37" s="54">
        <f>IF(ISNUMBER(V37),V37*(1+IF($I$5=1,0.1,IF($I$5=4,0.075,0.0875))),"")</f>
        <v/>
      </c>
      <c r="AJ37" s="54">
        <f>IF(ISNUMBER(W37),W37*(1+IF($I$5=1,0.1,IF($I$5=4,0.075,0.0875))),"")</f>
        <v/>
      </c>
      <c r="AK37" s="54">
        <f>IF(ISNUMBER(X37),X37*(1+IF($I$5=1,0.1,IF($I$5=4,0.075,0.0875))),"")</f>
        <v/>
      </c>
      <c r="AL37" s="54">
        <f>IF(ISNUMBER(Y37),Y37*(1+IF($I$5=1,0.1,IF($I$5=4,0.075,0.0875))),"")</f>
        <v/>
      </c>
      <c r="AM37" s="54">
        <f>IF(ISNUMBER(Z37),Z37*(1+IF($I$5=1,0.1,IF($I$5=4,0.075,0.0875))),"")</f>
        <v/>
      </c>
      <c r="AN37" s="54">
        <f>IF(ISNUMBER(AA37),AA37*(1+IF($I$5=1,0.1,IF($I$5=4,0.075,0.0875))),"")</f>
        <v/>
      </c>
      <c r="AO37" s="54">
        <f>IF(ISNUMBER(AB37),AB37*(1+IF($I$5=1,0.1,IF($I$5=4,0.075,0.0875))),"")</f>
        <v/>
      </c>
      <c r="AP37" s="55">
        <f>+SUM(AD37:AO37)</f>
        <v/>
      </c>
      <c r="AQ37" s="55">
        <f>+AP37-AC37</f>
        <v/>
      </c>
      <c r="AS37" s="8" t="n"/>
      <c r="AY37" s="4">
        <f>L37</f>
        <v/>
      </c>
      <c r="AZ37" s="39">
        <f>M37</f>
        <v/>
      </c>
    </row>
    <row r="38">
      <c r="C38" s="8" t="n"/>
      <c r="D38" s="8" t="n"/>
      <c r="E38" s="8" t="n"/>
      <c r="F38" s="8" t="n"/>
      <c r="G38" s="8" t="n"/>
      <c r="H38" s="8" t="n"/>
      <c r="I38" s="12" t="n"/>
      <c r="J38" s="12">
        <f>IFERROR(VLOOKUP(I38,$I$6:$J$8,2,FALSE),"Select freq")</f>
        <v/>
      </c>
      <c r="K38" s="16" t="n"/>
      <c r="L38" s="52" t="n"/>
      <c r="M38" s="58" t="n"/>
      <c r="N38" s="58" t="n"/>
      <c r="O38" s="58" t="n"/>
      <c r="P38" s="58" t="n"/>
      <c r="Q38" s="54" t="n">
        <v>522364.891037281</v>
      </c>
      <c r="R38" s="54" t="n">
        <v>414289.29439167</v>
      </c>
      <c r="S38" s="54" t="n">
        <v>674181.412105463</v>
      </c>
      <c r="T38" s="54" t="n">
        <v>516118.73153588</v>
      </c>
      <c r="U38" s="54" t="n">
        <v>493229.643368769</v>
      </c>
      <c r="V38" s="54" t="n">
        <v>391980.670054353</v>
      </c>
      <c r="W38" s="54" t="n">
        <v>376293.171487841</v>
      </c>
      <c r="X38" s="54" t="n">
        <v>488163.855676605</v>
      </c>
      <c r="Y38" s="54" t="n">
        <v>540668.7021539001</v>
      </c>
      <c r="Z38" s="54" t="n">
        <v>542404.730183572</v>
      </c>
      <c r="AA38" s="54" t="n">
        <v>596645.387730176</v>
      </c>
      <c r="AB38" s="54" t="n">
        <v>596644.394580467</v>
      </c>
      <c r="AC38" s="55">
        <f>+SUM(Q38:AB38)</f>
        <v/>
      </c>
      <c r="AD38" s="54">
        <f>IF(ISNUMBER(Q38),Q38*(1+IF($I$5=1,0.1,IF($I$5=4,0.075,0.0875))),"")</f>
        <v/>
      </c>
      <c r="AE38" s="54">
        <f>IF(ISNUMBER(R38),R38*(1+IF($I$5=1,0.1,IF($I$5=4,0.075,0.0875))),"")</f>
        <v/>
      </c>
      <c r="AF38" s="54">
        <f>IF(ISNUMBER(S38),S38*(1+IF($I$5=1,0.1,IF($I$5=4,0.075,0.0875))),"")</f>
        <v/>
      </c>
      <c r="AG38" s="54">
        <f>IF(ISNUMBER(T38),T38*(1+IF($I$5=1,0.1,IF($I$5=4,0.075,0.0875))),"")</f>
        <v/>
      </c>
      <c r="AH38" s="54">
        <f>IF(ISNUMBER(U38),U38*(1+IF($I$5=1,0.1,IF($I$5=4,0.075,0.0875))),"")</f>
        <v/>
      </c>
      <c r="AI38" s="54">
        <f>IF(ISNUMBER(V38),V38*(1+IF($I$5=1,0.1,IF($I$5=4,0.075,0.0875))),"")</f>
        <v/>
      </c>
      <c r="AJ38" s="54">
        <f>IF(ISNUMBER(W38),W38*(1+IF($I$5=1,0.1,IF($I$5=4,0.075,0.0875))),"")</f>
        <v/>
      </c>
      <c r="AK38" s="54">
        <f>IF(ISNUMBER(X38),X38*(1+IF($I$5=1,0.1,IF($I$5=4,0.075,0.0875))),"")</f>
        <v/>
      </c>
      <c r="AL38" s="54">
        <f>IF(ISNUMBER(Y38),Y38*(1+IF($I$5=1,0.1,IF($I$5=4,0.075,0.0875))),"")</f>
        <v/>
      </c>
      <c r="AM38" s="54">
        <f>IF(ISNUMBER(Z38),Z38*(1+IF($I$5=1,0.1,IF($I$5=4,0.075,0.0875))),"")</f>
        <v/>
      </c>
      <c r="AN38" s="54">
        <f>IF(ISNUMBER(AA38),AA38*(1+IF($I$5=1,0.1,IF($I$5=4,0.075,0.0875))),"")</f>
        <v/>
      </c>
      <c r="AO38" s="54">
        <f>IF(ISNUMBER(AB38),AB38*(1+IF($I$5=1,0.1,IF($I$5=4,0.075,0.0875))),"")</f>
        <v/>
      </c>
      <c r="AP38" s="55">
        <f>+SUM(AD38:AO38)</f>
        <v/>
      </c>
      <c r="AQ38" s="55">
        <f>+AP38-AC38</f>
        <v/>
      </c>
      <c r="AS38" s="8" t="inlineStr">
        <is>
          <t xml:space="preserve">Initial discussion - in Rd 2 of RFP - Awaiting feedback on RFP </t>
        </is>
      </c>
      <c r="AY38" s="4">
        <f>L38</f>
        <v/>
      </c>
      <c r="AZ38" s="39">
        <f>M38</f>
        <v/>
      </c>
    </row>
    <row r="39">
      <c r="C39" s="8" t="n"/>
      <c r="D39" s="8" t="n"/>
      <c r="E39" s="8" t="n"/>
      <c r="F39" s="8" t="n"/>
      <c r="G39" s="8" t="n"/>
      <c r="H39" s="8" t="n"/>
      <c r="I39" s="12" t="n"/>
      <c r="J39" s="12">
        <f>IFERROR(VLOOKUP(I39,$I$6:$J$8,2,FALSE),"Select freq")</f>
        <v/>
      </c>
      <c r="K39" s="16" t="n"/>
      <c r="L39" s="52" t="n"/>
      <c r="M39" s="58" t="n"/>
      <c r="N39" s="58" t="n"/>
      <c r="O39" s="58" t="n"/>
      <c r="P39" s="58" t="n"/>
      <c r="Q39" s="54" t="n">
        <v>68797.83615823289</v>
      </c>
      <c r="R39" s="54" t="n">
        <v>63257.68</v>
      </c>
      <c r="S39" s="54" t="n">
        <v>61760</v>
      </c>
      <c r="T39" s="54" t="n">
        <v>77200</v>
      </c>
      <c r="U39" s="54" t="n">
        <v>77200</v>
      </c>
      <c r="V39" s="54" t="n">
        <v>77200</v>
      </c>
      <c r="W39" s="54" t="n">
        <v>77200</v>
      </c>
      <c r="X39" s="54" t="n">
        <v>77200</v>
      </c>
      <c r="Y39" s="54" t="n">
        <v>77200</v>
      </c>
      <c r="Z39" s="54" t="n">
        <v>77200</v>
      </c>
      <c r="AA39" s="54" t="n">
        <v>77200</v>
      </c>
      <c r="AB39" s="54" t="n">
        <v>84688.39999999999</v>
      </c>
      <c r="AC39" s="55">
        <f>+SUM(Q39:AB39)</f>
        <v/>
      </c>
      <c r="AD39" s="54">
        <f>IF(ISNUMBER(Q39),Q39*(1+IF($I$5=1,0.1,IF($I$5=4,0.075,0.0875))),"")</f>
        <v/>
      </c>
      <c r="AE39" s="54">
        <f>IF(ISNUMBER(R39),R39*(1+IF($I$5=1,0.1,IF($I$5=4,0.075,0.0875))),"")</f>
        <v/>
      </c>
      <c r="AF39" s="54">
        <f>IF(ISNUMBER(S39),S39*(1+IF($I$5=1,0.1,IF($I$5=4,0.075,0.0875))),"")</f>
        <v/>
      </c>
      <c r="AG39" s="54">
        <f>IF(ISNUMBER(T39),T39*(1+IF($I$5=1,0.1,IF($I$5=4,0.075,0.0875))),"")</f>
        <v/>
      </c>
      <c r="AH39" s="54">
        <f>IF(ISNUMBER(U39),U39*(1+IF($I$5=1,0.1,IF($I$5=4,0.075,0.0875))),"")</f>
        <v/>
      </c>
      <c r="AI39" s="54">
        <f>IF(ISNUMBER(V39),V39*(1+IF($I$5=1,0.1,IF($I$5=4,0.075,0.0875))),"")</f>
        <v/>
      </c>
      <c r="AJ39" s="54">
        <f>IF(ISNUMBER(W39),W39*(1+IF($I$5=1,0.1,IF($I$5=4,0.075,0.0875))),"")</f>
        <v/>
      </c>
      <c r="AK39" s="54">
        <f>IF(ISNUMBER(X39),X39*(1+IF($I$5=1,0.1,IF($I$5=4,0.075,0.0875))),"")</f>
        <v/>
      </c>
      <c r="AL39" s="54">
        <f>IF(ISNUMBER(Y39),Y39*(1+IF($I$5=1,0.1,IF($I$5=4,0.075,0.0875))),"")</f>
        <v/>
      </c>
      <c r="AM39" s="54">
        <f>IF(ISNUMBER(Z39),Z39*(1+IF($I$5=1,0.1,IF($I$5=4,0.075,0.0875))),"")</f>
        <v/>
      </c>
      <c r="AN39" s="54">
        <f>IF(ISNUMBER(AA39),AA39*(1+IF($I$5=1,0.1,IF($I$5=4,0.075,0.0875))),"")</f>
        <v/>
      </c>
      <c r="AO39" s="54">
        <f>IF(ISNUMBER(AB39),AB39*(1+IF($I$5=1,0.1,IF($I$5=4,0.075,0.0875))),"")</f>
        <v/>
      </c>
      <c r="AP39" s="55">
        <f>+SUM(AD39:AO39)</f>
        <v/>
      </c>
      <c r="AQ39" s="55">
        <f>+AP39-AC39</f>
        <v/>
      </c>
      <c r="AS39" s="8" t="inlineStr">
        <is>
          <t>Re-discussing on 5/6- may move to pricing model with them buying select specialized items - Will potentially lower toll</t>
        </is>
      </c>
      <c r="AY39" s="4">
        <f>L39</f>
        <v/>
      </c>
      <c r="AZ39" s="39">
        <f>M39</f>
        <v/>
      </c>
    </row>
    <row r="40">
      <c r="C40" s="8" t="n"/>
      <c r="D40" s="8" t="n"/>
      <c r="E40" s="8" t="n"/>
      <c r="F40" s="8" t="n"/>
      <c r="G40" s="8" t="n"/>
      <c r="H40" s="8" t="n"/>
      <c r="I40" s="12" t="inlineStr">
        <is>
          <t>Annually</t>
        </is>
      </c>
      <c r="J40" s="12">
        <f>IFERROR(VLOOKUP(I40,$I$6:$J$8,2,FALSE),"Select freq")</f>
        <v/>
      </c>
      <c r="K40" s="16" t="inlineStr">
        <is>
          <t>Approved</t>
        </is>
      </c>
      <c r="L40" s="52" t="n">
        <v>44652</v>
      </c>
      <c r="M40" s="58" t="n">
        <v>0.2421</v>
      </c>
      <c r="N40" s="58" t="n"/>
      <c r="O40" s="58" t="n"/>
      <c r="P40" s="58" t="n"/>
      <c r="Q40" s="54" t="n">
        <v>2673389.26829267</v>
      </c>
      <c r="R40" s="54" t="n">
        <v>2667395.12195121</v>
      </c>
      <c r="S40" s="54" t="n">
        <v>2663399.02439024</v>
      </c>
      <c r="T40" s="54" t="n">
        <v>2673389.26829267</v>
      </c>
      <c r="U40" s="54" t="n">
        <v>2683379.51219511</v>
      </c>
      <c r="V40" s="54" t="n">
        <v>1982563.90243902</v>
      </c>
      <c r="W40" s="54" t="n">
        <v>1982563.90243902</v>
      </c>
      <c r="X40" s="54" t="n">
        <v>1982563.90243902</v>
      </c>
      <c r="Y40" s="54" t="n">
        <v>1982563.90243902</v>
      </c>
      <c r="Z40" s="54" t="n">
        <v>1982563.90243902</v>
      </c>
      <c r="AA40" s="54" t="n">
        <v>1982563.90243902</v>
      </c>
      <c r="AB40" s="54" t="n">
        <v>1982563.90243902</v>
      </c>
      <c r="AC40" s="55">
        <f>+SUM(Q40:AB40)</f>
        <v/>
      </c>
      <c r="AD40" s="54">
        <f>IF(ISNUMBER(Q40),Q40*(1+IF($I$5=1,0.1,IF($I$5=4,0.075,0.0875))),"")</f>
        <v/>
      </c>
      <c r="AE40" s="54">
        <f>IF(ISNUMBER(R40),R40*(1+IF($I$5=1,0.1,IF($I$5=4,0.075,0.0875))),"")</f>
        <v/>
      </c>
      <c r="AF40" s="54">
        <f>IF(ISNUMBER(S40),S40*(1+IF($I$5=1,0.1,IF($I$5=4,0.075,0.0875))),"")</f>
        <v/>
      </c>
      <c r="AG40" s="54">
        <f>IF(ISNUMBER(T40),T40*(1+IF($I$5=1,0.1,IF($I$5=4,0.075,0.0875))),"")</f>
        <v/>
      </c>
      <c r="AH40" s="54">
        <f>IF(ISNUMBER(U40),U40*(1+IF($I$5=1,0.1,IF($I$5=4,0.075,0.0875))),"")</f>
        <v/>
      </c>
      <c r="AI40" s="54">
        <f>IF(ISNUMBER(V40),V40*(1+IF($I$5=1,0.1,IF($I$5=4,0.075,0.0875))),"")</f>
        <v/>
      </c>
      <c r="AJ40" s="54">
        <f>IF(ISNUMBER(W40),W40*(1+IF($I$5=1,0.1,IF($I$5=4,0.075,0.0875))),"")</f>
        <v/>
      </c>
      <c r="AK40" s="54">
        <f>IF(ISNUMBER(X40),X40*(1+IF($I$5=1,0.1,IF($I$5=4,0.075,0.0875))),"")</f>
        <v/>
      </c>
      <c r="AL40" s="54">
        <f>IF(ISNUMBER(Y40),Y40*(1+IF($I$5=1,0.1,IF($I$5=4,0.075,0.0875))),"")</f>
        <v/>
      </c>
      <c r="AM40" s="54">
        <f>IF(ISNUMBER(Z40),Z40*(1+IF($I$5=1,0.1,IF($I$5=4,0.075,0.0875))),"")</f>
        <v/>
      </c>
      <c r="AN40" s="54">
        <f>IF(ISNUMBER(AA40),AA40*(1+IF($I$5=1,0.1,IF($I$5=4,0.075,0.0875))),"")</f>
        <v/>
      </c>
      <c r="AO40" s="54">
        <f>IF(ISNUMBER(AB40),AB40*(1+IF($I$5=1,0.1,IF($I$5=4,0.075,0.0875))),"")</f>
        <v/>
      </c>
      <c r="AP40" s="55">
        <f>+SUM(AD40:AO40)</f>
        <v/>
      </c>
      <c r="AQ40" s="55">
        <f>+AP40-AC40</f>
        <v/>
      </c>
      <c r="AR40" s="57" t="n"/>
      <c r="AS40" s="8" t="inlineStr">
        <is>
          <t>Approved by Nestle (21.4% Choc Lovers; 27.2% Choc Chip Bar)</t>
        </is>
      </c>
      <c r="AY40" s="4">
        <f>L40</f>
        <v/>
      </c>
      <c r="AZ40" s="39">
        <f>M40</f>
        <v/>
      </c>
    </row>
    <row r="41">
      <c r="C41" s="8" t="n"/>
      <c r="D41" s="8" t="n"/>
      <c r="E41" s="8" t="n"/>
      <c r="F41" s="8" t="n"/>
      <c r="G41" s="8" t="n"/>
      <c r="H41" s="8" t="n"/>
      <c r="I41" s="12" t="inlineStr">
        <is>
          <t>Annually</t>
        </is>
      </c>
      <c r="J41" s="12">
        <f>IFERROR(VLOOKUP(I41,$I$6:$J$8,2,FALSE),"Select freq")</f>
        <v/>
      </c>
      <c r="K41" s="16" t="inlineStr">
        <is>
          <t>Approved</t>
        </is>
      </c>
      <c r="L41" s="52" t="n">
        <v>44743</v>
      </c>
      <c r="M41" s="58" t="n">
        <v>0.097</v>
      </c>
      <c r="N41" s="58" t="n"/>
      <c r="O41" s="58" t="n"/>
      <c r="P41" s="58" t="n"/>
      <c r="Q41" s="54" t="n">
        <v>175779.166903855</v>
      </c>
      <c r="R41" s="54" t="n">
        <v>133046.719155394</v>
      </c>
      <c r="S41" s="54" t="n">
        <v>180839.038640335</v>
      </c>
      <c r="T41" s="54" t="n">
        <v>212677.325088328</v>
      </c>
      <c r="U41" s="54" t="n">
        <v>232124.39539348</v>
      </c>
      <c r="V41" s="54" t="n">
        <v>163113.455978419</v>
      </c>
      <c r="W41" s="54" t="n">
        <v>146898.169206722</v>
      </c>
      <c r="X41" s="54" t="n">
        <v>146898.169206722</v>
      </c>
      <c r="Y41" s="54" t="n">
        <v>162697.778858073</v>
      </c>
      <c r="Z41" s="54" t="n">
        <v>163220.188007469</v>
      </c>
      <c r="AA41" s="54" t="n">
        <v>179542.206808216</v>
      </c>
      <c r="AB41" s="54" t="n">
        <v>179542.206808216</v>
      </c>
      <c r="AC41" s="55">
        <f>+SUM(Q41:AB41)</f>
        <v/>
      </c>
      <c r="AD41" s="54">
        <f>IF(ISNUMBER(Q41),Q41*(1+IF($I$5=1,0.1,IF($I$5=4,0.075,0.0875))),"")</f>
        <v/>
      </c>
      <c r="AE41" s="54">
        <f>IF(ISNUMBER(R41),R41*(1+IF($I$5=1,0.1,IF($I$5=4,0.075,0.0875))),"")</f>
        <v/>
      </c>
      <c r="AF41" s="54">
        <f>IF(ISNUMBER(S41),S41*(1+IF($I$5=1,0.1,IF($I$5=4,0.075,0.0875))),"")</f>
        <v/>
      </c>
      <c r="AG41" s="54">
        <f>IF(ISNUMBER(T41),T41*(1+IF($I$5=1,0.1,IF($I$5=4,0.075,0.0875))),"")</f>
        <v/>
      </c>
      <c r="AH41" s="54">
        <f>IF(ISNUMBER(U41),U41*(1+IF($I$5=1,0.1,IF($I$5=4,0.075,0.0875))),"")</f>
        <v/>
      </c>
      <c r="AI41" s="54">
        <f>IF(ISNUMBER(V41),V41*(1+IF($I$5=1,0.1,IF($I$5=4,0.075,0.0875))),"")</f>
        <v/>
      </c>
      <c r="AJ41" s="54">
        <f>IF(ISNUMBER(W41),W41*(1+IF($I$5=1,0.1,IF($I$5=4,0.075,0.0875))),"")</f>
        <v/>
      </c>
      <c r="AK41" s="54">
        <f>IF(ISNUMBER(X41),X41*(1+IF($I$5=1,0.1,IF($I$5=4,0.075,0.0875))),"")</f>
        <v/>
      </c>
      <c r="AL41" s="54">
        <f>IF(ISNUMBER(Y41),Y41*(1+IF($I$5=1,0.1,IF($I$5=4,0.075,0.0875))),"")</f>
        <v/>
      </c>
      <c r="AM41" s="54">
        <f>IF(ISNUMBER(Z41),Z41*(1+IF($I$5=1,0.1,IF($I$5=4,0.075,0.0875))),"")</f>
        <v/>
      </c>
      <c r="AN41" s="54">
        <f>IF(ISNUMBER(AA41),AA41*(1+IF($I$5=1,0.1,IF($I$5=4,0.075,0.0875))),"")</f>
        <v/>
      </c>
      <c r="AO41" s="54">
        <f>IF(ISNUMBER(AB41),AB41*(1+IF($I$5=1,0.1,IF($I$5=4,0.075,0.0875))),"")</f>
        <v/>
      </c>
      <c r="AP41" s="55">
        <f>+SUM(AD41:AO41)</f>
        <v/>
      </c>
      <c r="AQ41" s="55">
        <f>+AP41-AC41</f>
        <v/>
      </c>
      <c r="AR41" s="39" t="n"/>
      <c r="AS41" s="8" t="inlineStr">
        <is>
          <t>Completed</t>
        </is>
      </c>
      <c r="AY41" s="4">
        <f>L41</f>
        <v/>
      </c>
      <c r="AZ41" s="39">
        <f>M41</f>
        <v/>
      </c>
    </row>
    <row r="42">
      <c r="C42" s="8" t="n"/>
      <c r="D42" s="8" t="n"/>
      <c r="E42" s="8" t="n"/>
      <c r="F42" s="8" t="n"/>
      <c r="G42" s="8" t="n"/>
      <c r="H42" s="8" t="n"/>
      <c r="I42" s="12" t="n"/>
      <c r="J42" s="12">
        <f>IFERROR(VLOOKUP(I42,$I$6:$J$8,2,FALSE),"Select freq")</f>
        <v/>
      </c>
      <c r="K42" s="16" t="n"/>
      <c r="L42" s="52" t="n"/>
      <c r="M42" s="58" t="n"/>
      <c r="N42" s="58" t="n"/>
      <c r="O42" s="58" t="n"/>
      <c r="P42" s="58" t="n"/>
      <c r="Q42" s="54" t="n">
        <v>0</v>
      </c>
      <c r="R42" s="54" t="n">
        <v>272810.518155007</v>
      </c>
      <c r="S42" s="54" t="n">
        <v>315885.86312685</v>
      </c>
      <c r="T42" s="54" t="n">
        <v>287168.966478955</v>
      </c>
      <c r="U42" s="54" t="n">
        <v>287168.966478955</v>
      </c>
      <c r="V42" s="54" t="n">
        <v>286981.182560516</v>
      </c>
      <c r="W42" s="54" t="n">
        <v>258452.069831059</v>
      </c>
      <c r="X42" s="54" t="n">
        <v>258452.069831059</v>
      </c>
      <c r="Y42" s="54" t="n">
        <v>286249.841845276</v>
      </c>
      <c r="Z42" s="54" t="n">
        <v>287168.966478955</v>
      </c>
      <c r="AA42" s="54" t="n">
        <v>315885.86312685</v>
      </c>
      <c r="AB42" s="54" t="n">
        <v>346526.791850155</v>
      </c>
      <c r="AC42" s="55">
        <f>+SUM(Q42:AB42)</f>
        <v/>
      </c>
      <c r="AD42" s="54">
        <f>IF(ISNUMBER(Q42),Q42*(1+IF($I$5=1,0.1,IF($I$5=4,0.075,0.0875))),"")</f>
        <v/>
      </c>
      <c r="AE42" s="54">
        <f>IF(ISNUMBER(R42),R42*(1+IF($I$5=1,0.1,IF($I$5=4,0.075,0.0875))),"")</f>
        <v/>
      </c>
      <c r="AF42" s="54">
        <f>IF(ISNUMBER(S42),S42*(1+IF($I$5=1,0.1,IF($I$5=4,0.075,0.0875))),"")</f>
        <v/>
      </c>
      <c r="AG42" s="54">
        <f>IF(ISNUMBER(T42),T42*(1+IF($I$5=1,0.1,IF($I$5=4,0.075,0.0875))),"")</f>
        <v/>
      </c>
      <c r="AH42" s="54">
        <f>IF(ISNUMBER(U42),U42*(1+IF($I$5=1,0.1,IF($I$5=4,0.075,0.0875))),"")</f>
        <v/>
      </c>
      <c r="AI42" s="54">
        <f>IF(ISNUMBER(V42),V42*(1+IF($I$5=1,0.1,IF($I$5=4,0.075,0.0875))),"")</f>
        <v/>
      </c>
      <c r="AJ42" s="54">
        <f>IF(ISNUMBER(W42),W42*(1+IF($I$5=1,0.1,IF($I$5=4,0.075,0.0875))),"")</f>
        <v/>
      </c>
      <c r="AK42" s="54">
        <f>IF(ISNUMBER(X42),X42*(1+IF($I$5=1,0.1,IF($I$5=4,0.075,0.0875))),"")</f>
        <v/>
      </c>
      <c r="AL42" s="54">
        <f>IF(ISNUMBER(Y42),Y42*(1+IF($I$5=1,0.1,IF($I$5=4,0.075,0.0875))),"")</f>
        <v/>
      </c>
      <c r="AM42" s="54">
        <f>IF(ISNUMBER(Z42),Z42*(1+IF($I$5=1,0.1,IF($I$5=4,0.075,0.0875))),"")</f>
        <v/>
      </c>
      <c r="AN42" s="54">
        <f>IF(ISNUMBER(AA42),AA42*(1+IF($I$5=1,0.1,IF($I$5=4,0.075,0.0875))),"")</f>
        <v/>
      </c>
      <c r="AO42" s="54">
        <f>IF(ISNUMBER(AB42),AB42*(1+IF($I$5=1,0.1,IF($I$5=4,0.075,0.0875))),"")</f>
        <v/>
      </c>
      <c r="AP42" s="55">
        <f>+SUM(AD42:AO42)</f>
        <v/>
      </c>
      <c r="AQ42" s="55">
        <f>+AP42-AC42</f>
        <v/>
      </c>
      <c r="AS42" s="8" t="inlineStr">
        <is>
          <t>Resubmitted additional pricing (9.7%+10%) -  Response on 5/3 was price increase rejected</t>
        </is>
      </c>
      <c r="AY42" s="4">
        <f>L42</f>
        <v/>
      </c>
      <c r="AZ42" s="39">
        <f>M42</f>
        <v/>
      </c>
    </row>
    <row r="43"/>
    <row r="44"/>
    <row r="45"/>
    <row r="46"/>
    <row r="47"/>
    <row r="48"/>
    <row r="49"/>
  </sheetData>
  <autoFilter ref="C13:AV42"/>
  <conditionalFormatting sqref="AD14:AO42">
    <cfRule type="expression" priority="1" dxfId="0">
      <formula>BA14=1</formula>
    </cfRule>
  </conditionalFormatting>
  <pageMargins left="0.25" right="0.25" top="0.37" bottom="0.41" header="0.2" footer="0.23"/>
  <pageSetup orientation="portrait" paperSize="1" fitToHeight="0"/>
  <headerFooter>
    <oddHeader>&amp;R&amp;"Arial,Regular"&amp;8 DRAFT</oddHeader>
    <oddFooter>&amp;L&amp;"Arial,Regular"&amp;8 &amp;F&amp;C&amp;"Arial,Regular"&amp;8 Confidential&amp;R&amp;"Arial,Regular"&amp;8 Page: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Hamad Haque</dc:creator>
  <dcterms:created xsi:type="dcterms:W3CDTF">2022-06-22T14:07:00Z</dcterms:created>
  <dcterms:modified xsi:type="dcterms:W3CDTF">2026-03-23T10:22:56Z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9A964DD88D7945AEBABD19B4E14827ED_12</vt:lpwstr>
  </property>
  <property name="KSOProductBuildVer" fmtid="{D5CDD505-2E9C-101B-9397-08002B2CF9AE}" pid="3">
    <vt:lpwstr>2052-12.1.0.16729</vt:lpwstr>
  </property>
</Properties>
</file>