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430" tabRatio="600" firstSheet="0" activeTab="1" autoFilterDateGrouping="1"/>
  </bookViews>
  <sheets>
    <sheet name="Sheet2" sheetId="1" state="visible" r:id="rId1"/>
    <sheet name="Sheet1" sheetId="2" state="visible" r:id="rId2"/>
  </sheets>
  <externalReferences>
    <externalReference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等线"/>
      <charset val="134"/>
      <b val="1"/>
      <color theme="0"/>
      <sz val="11"/>
      <scheme val="minor"/>
    </font>
    <font>
      <name val="Arial"/>
      <charset val="134"/>
      <color rgb="FF000000"/>
      <sz val="8"/>
    </font>
    <font>
      <name val="Arial"/>
      <charset val="134"/>
      <b val="1"/>
      <color rgb="FF00000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4" borderId="5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6" applyAlignment="1">
      <alignment vertical="center"/>
    </xf>
    <xf numFmtId="0" fontId="11" fillId="0" borderId="6" applyAlignment="1">
      <alignment vertical="center"/>
    </xf>
    <xf numFmtId="0" fontId="12" fillId="0" borderId="7" applyAlignment="1">
      <alignment vertical="center"/>
    </xf>
    <xf numFmtId="0" fontId="12" fillId="0" borderId="0" applyAlignment="1">
      <alignment vertical="center"/>
    </xf>
    <xf numFmtId="0" fontId="13" fillId="5" borderId="8" applyAlignment="1">
      <alignment vertical="center"/>
    </xf>
    <xf numFmtId="0" fontId="14" fillId="6" borderId="9" applyAlignment="1">
      <alignment vertical="center"/>
    </xf>
    <xf numFmtId="0" fontId="15" fillId="6" borderId="8" applyAlignment="1">
      <alignment vertical="center"/>
    </xf>
    <xf numFmtId="0" fontId="16" fillId="7" borderId="10" applyAlignment="1">
      <alignment vertical="center"/>
    </xf>
    <xf numFmtId="0" fontId="17" fillId="0" borderId="11" applyAlignment="1">
      <alignment vertical="center"/>
    </xf>
    <xf numFmtId="0" fontId="18" fillId="0" borderId="12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13">
    <xf numFmtId="0" fontId="0" fillId="0" borderId="0" pivotButton="0" quotePrefix="0" xfId="0"/>
    <xf numFmtId="49" fontId="1" fillId="2" borderId="1" applyAlignment="1" pivotButton="0" quotePrefix="0" xfId="0">
      <alignment wrapText="1"/>
    </xf>
    <xf numFmtId="0" fontId="1" fillId="2" borderId="2" pivotButton="0" quotePrefix="0" xfId="0"/>
    <xf numFmtId="49" fontId="0" fillId="3" borderId="1" pivotButton="0" quotePrefix="0" xfId="0"/>
    <xf numFmtId="0" fontId="0" fillId="3" borderId="2" pivotButton="0" quotePrefix="0" xfId="0"/>
    <xf numFmtId="49" fontId="2" fillId="3" borderId="3" pivotButton="0" quotePrefix="0" xfId="0"/>
    <xf numFmtId="49" fontId="0" fillId="0" borderId="1" pivotButton="0" quotePrefix="0" xfId="0"/>
    <xf numFmtId="0" fontId="0" fillId="0" borderId="2" pivotButton="0" quotePrefix="0" xfId="0"/>
    <xf numFmtId="49" fontId="3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2" fillId="3" borderId="3" pivotButton="0" quotePrefix="0" xfId="0"/>
    <xf numFmtId="49" fontId="2" fillId="0" borderId="3" pivotButton="0" quotePrefix="0" xfId="0"/>
    <xf numFmtId="0" fontId="2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Users\zll\Desktop\&#27491;&#24335;&#26631;&#27880;\excel&#20844;&#24335;&#26631;&#27880;&#20219;&#21153;&#19968;&#23436;&#25104;&#25968;&#25454;\58994\2020%20Monthly%20Sales%20Info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lert"/>
      <sheetName val="2019"/>
      <sheetName val="2020"/>
      <sheetName val="All INV"/>
      <sheetName val="Sheet2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8" sqref="A8"/>
    </sheetView>
  </sheetViews>
  <sheetFormatPr baseColWidth="8" defaultColWidth="9" defaultRowHeight="14"/>
  <cols>
    <col width="14.1416666666667" customWidth="1" min="1" max="1"/>
    <col width="10.425" customWidth="1" min="2" max="2"/>
    <col width="42" customWidth="1" min="3" max="3"/>
  </cols>
  <sheetData>
    <row r="1" ht="14.75" customHeight="1">
      <c r="A1" s="8" t="inlineStr">
        <is>
          <t>Item</t>
        </is>
      </c>
      <c r="B1" s="9" t="inlineStr">
        <is>
          <t>Type</t>
        </is>
      </c>
      <c r="C1" s="8" t="inlineStr">
        <is>
          <t>Description</t>
        </is>
      </c>
    </row>
    <row r="2" ht="14.75" customHeight="1">
      <c r="A2" s="5" t="inlineStr">
        <is>
          <t>FG</t>
        </is>
      </c>
      <c r="B2" s="10" t="n"/>
      <c r="C2" s="5" t="inlineStr">
        <is>
          <t>Finished Goods</t>
        </is>
      </c>
    </row>
    <row r="3">
      <c r="A3" s="11" t="inlineStr">
        <is>
          <t>FG:BJ-750-00310</t>
        </is>
      </c>
      <c r="B3" s="12" t="n"/>
      <c r="C3" s="11" t="inlineStr">
        <is>
          <t xml:space="preserve">750ml </t>
        </is>
      </c>
    </row>
    <row r="4">
      <c r="A4" s="5" t="inlineStr">
        <is>
          <t>FG:BJ-155-PK301</t>
        </is>
      </c>
      <c r="B4" s="10" t="n"/>
      <c r="C4" s="5" t="inlineStr">
        <is>
          <t>1/2 BBL 15.5Gal (other keg)</t>
        </is>
      </c>
    </row>
    <row r="5">
      <c r="A5" s="11" t="inlineStr">
        <is>
          <t>FG:BJ-155-PK310</t>
        </is>
      </c>
      <c r="B5" s="12" t="n"/>
      <c r="C5" s="11" t="inlineStr">
        <is>
          <t xml:space="preserve"> 1/2 BBL 15.5Gal (Port)</t>
        </is>
      </c>
    </row>
    <row r="6">
      <c r="A6" s="5" t="inlineStr">
        <is>
          <t>FG:BJ-516-PK305</t>
        </is>
      </c>
      <c r="B6" s="10" t="n"/>
      <c r="C6" s="5" t="inlineStr">
        <is>
          <t xml:space="preserve"> 1/6 BBL 5.16 Gal (OTHER KEG)</t>
        </is>
      </c>
    </row>
    <row r="7">
      <c r="A7" s="11" t="inlineStr">
        <is>
          <t>FG:BJ-750-00301</t>
        </is>
      </c>
      <c r="B7" s="12" t="n"/>
      <c r="C7" s="11" t="inlineStr">
        <is>
          <t>Grand Cru</t>
        </is>
      </c>
    </row>
    <row r="8">
      <c r="A8" s="5" t="inlineStr">
        <is>
          <t>FG:BJ-750-00301E</t>
        </is>
      </c>
      <c r="B8" s="10" t="n"/>
      <c r="C8" s="5" t="inlineStr">
        <is>
          <t>(Display)</t>
        </is>
      </c>
    </row>
    <row r="9">
      <c r="A9" s="11" t="inlineStr">
        <is>
          <t>FG:BJ-750-00303</t>
        </is>
      </c>
      <c r="B9" s="12" t="n"/>
      <c r="C9" s="11" t="inlineStr">
        <is>
          <t xml:space="preserve"> Abbey Normal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7:F18"/>
  <sheetViews>
    <sheetView tabSelected="1" topLeftCell="A7" workbookViewId="0">
      <selection activeCell="E10" sqref="E10"/>
    </sheetView>
  </sheetViews>
  <sheetFormatPr baseColWidth="8" defaultColWidth="9" defaultRowHeight="14"/>
  <cols>
    <col width="11.7083333333333" customWidth="1" min="1" max="1"/>
    <col width="13.425" customWidth="1" min="2" max="2"/>
    <col width="13.5666666666667" customWidth="1" min="5" max="5"/>
  </cols>
  <sheetData>
    <row r="7" ht="28" customHeight="1">
      <c r="A7" s="1" t="inlineStr">
        <is>
          <t>Size</t>
        </is>
      </c>
      <c r="B7" s="2" t="inlineStr">
        <is>
          <t>Gallon Equivalent</t>
        </is>
      </c>
      <c r="E7" t="inlineStr">
        <is>
          <t>Item Code</t>
        </is>
      </c>
      <c r="F7" t="inlineStr">
        <is>
          <t>Converted Size</t>
        </is>
      </c>
    </row>
    <row r="8">
      <c r="A8" s="3" t="inlineStr">
        <is>
          <t>750</t>
        </is>
      </c>
      <c r="B8" s="4" t="inlineStr">
        <is>
          <t>750ml</t>
        </is>
      </c>
      <c r="E8" s="5" t="inlineStr">
        <is>
          <t>FG:BJ-155-00310</t>
        </is>
      </c>
      <c r="F8">
        <f>LOOKUP(2,1/(ISNUMBER(SEARCH("-"&amp;$A$8:$A$10&amp;"-",E8))),$B$8:$B$10)</f>
        <v/>
      </c>
    </row>
    <row r="9">
      <c r="A9" s="6" t="inlineStr">
        <is>
          <t>155</t>
        </is>
      </c>
      <c r="B9" s="7" t="inlineStr">
        <is>
          <t>15.5 gals</t>
        </is>
      </c>
    </row>
    <row r="10">
      <c r="A10" s="3" t="inlineStr">
        <is>
          <t>516</t>
        </is>
      </c>
      <c r="B10" s="4" t="inlineStr">
        <is>
          <t>5.16 gals</t>
        </is>
      </c>
    </row>
    <row r="11">
      <c r="A11" s="6" t="inlineStr">
        <is>
          <t>022</t>
        </is>
      </c>
      <c r="B11" s="7" t="inlineStr">
        <is>
          <t>22oz</t>
        </is>
      </c>
    </row>
    <row r="12">
      <c r="A12" s="3" t="inlineStr">
        <is>
          <t>024</t>
        </is>
      </c>
      <c r="B12" s="4" t="inlineStr">
        <is>
          <t>Costco 24pk</t>
        </is>
      </c>
    </row>
    <row r="13">
      <c r="A13" s="6" t="inlineStr">
        <is>
          <t>416</t>
        </is>
      </c>
      <c r="B13" s="7" t="inlineStr">
        <is>
          <t>16oz 4pk</t>
        </is>
      </c>
    </row>
    <row r="14">
      <c r="A14" s="3" t="inlineStr">
        <is>
          <t>516</t>
        </is>
      </c>
      <c r="B14" s="4" t="inlineStr">
        <is>
          <t>5.16gal</t>
        </is>
      </c>
    </row>
    <row r="15">
      <c r="A15" s="6" t="inlineStr">
        <is>
          <t>616</t>
        </is>
      </c>
      <c r="B15" s="7" t="inlineStr">
        <is>
          <t>16oz 6pk</t>
        </is>
      </c>
    </row>
    <row r="16">
      <c r="A16" s="3" t="inlineStr">
        <is>
          <t>775</t>
        </is>
      </c>
      <c r="B16" s="4" t="inlineStr">
        <is>
          <t>1/4bbl 7.75gal</t>
        </is>
      </c>
    </row>
    <row r="17">
      <c r="A17" s="6" t="inlineStr">
        <is>
          <t>005</t>
        </is>
      </c>
      <c r="B17" s="7" t="inlineStr">
        <is>
          <t>5 gal</t>
        </is>
      </c>
    </row>
    <row r="18">
      <c r="A18" s="3" t="inlineStr">
        <is>
          <t>475</t>
        </is>
      </c>
      <c r="B18" s="4" t="inlineStr">
        <is>
          <t>375ml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Jesse Ramirez</dc:creator>
  <dcterms:created xsi:type="dcterms:W3CDTF">2020-12-08T00:17:00Z</dcterms:created>
  <dcterms:modified xsi:type="dcterms:W3CDTF">2026-03-23T10:15:51Z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69C5999ADCB94777AEE90FFA4CC66246_13</vt:lpwstr>
  </property>
  <property name="KSOProductBuildVer" fmtid="{D5CDD505-2E9C-101B-9397-08002B2CF9AE}" pid="3">
    <vt:lpwstr>2052-12.1.0.16729</vt:lpwstr>
  </property>
</Properties>
</file>