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RESULTS 1" sheetId="1" state="visible" r:id="rId1"/>
    <sheet name="RESULTS 2" sheetId="2" state="visible" r:id="rId2"/>
    <sheet name="DATA" sheetId="3" state="visible" r:id="rId3"/>
    <sheet name="CALC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h:mm;@"/>
    <numFmt numFmtId="165" formatCode="[$-409]d\-mmm\-yy;@"/>
  </numFmts>
  <fonts count="29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theme="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i val="1"/>
      <color theme="1"/>
      <sz val="11"/>
      <scheme val="minor"/>
    </font>
    <font>
      <name val="等线"/>
      <charset val="134"/>
      <color rgb="FF333333"/>
      <sz val="11"/>
      <scheme val="minor"/>
    </font>
    <font>
      <name val="等线"/>
      <charset val="134"/>
      <i val="1"/>
      <color theme="9" tint="0.799981688894314"/>
      <sz val="11"/>
      <scheme val="minor"/>
    </font>
    <font>
      <name val="等线"/>
      <charset val="134"/>
      <b val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strike val="1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E7F1F9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E1F0FF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/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 style="thin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auto="1"/>
      </bottom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2" tint="-0.249946592608417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theme="0" tint="-0.249946592608417"/>
      </bottom>
      <diagonal/>
    </border>
    <border>
      <left style="thin">
        <color auto="1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auto="1"/>
      </top>
      <bottom style="thin">
        <color theme="0" tint="-0.249946592608417"/>
      </bottom>
      <diagonal/>
    </border>
    <border>
      <left style="thin">
        <color theme="2" tint="-0.249946592608417"/>
      </left>
      <right style="thin">
        <color theme="2" tint="-0.249946592608417"/>
      </right>
      <top style="thin">
        <color auto="1"/>
      </top>
      <bottom style="thin">
        <color theme="2" tint="-0.249946592608417"/>
      </bottom>
      <diagonal/>
    </border>
    <border>
      <left style="thin">
        <color theme="2" tint="-0.249946592608417"/>
      </left>
      <right style="thin">
        <color auto="1"/>
      </right>
      <top style="thin">
        <color auto="1"/>
      </top>
      <bottom style="thin">
        <color theme="2" tint="-0.249946592608417"/>
      </bottom>
      <diagonal/>
    </border>
    <border>
      <left style="thin">
        <color theme="2" tint="-0.249946592608417"/>
      </left>
      <right style="thin">
        <color theme="0" tint="-0.249946592608417"/>
      </right>
      <top style="thin">
        <color theme="2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2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theme="2" tint="-0.249946592608417"/>
      </top>
      <bottom style="thin">
        <color theme="0" tint="-0.249946592608417"/>
      </bottom>
      <diagonal/>
    </border>
    <border>
      <left style="thin">
        <color theme="2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2" tint="-0.249946592608417"/>
      </left>
      <right style="thin">
        <color theme="0" tint="-0.249946592608417"/>
      </right>
      <top/>
      <bottom style="thin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auto="1"/>
      </bottom>
      <diagonal/>
    </border>
    <border>
      <left style="thin">
        <color theme="0" tint="-0.249946592608417"/>
      </left>
      <right style="thin">
        <color auto="1"/>
      </right>
      <top/>
      <bottom style="thin">
        <color auto="1"/>
      </bottom>
      <diagonal/>
    </border>
    <border>
      <left style="thin">
        <color theme="2" tint="-0.249946592608417"/>
      </left>
      <right/>
      <top style="thin">
        <color auto="1"/>
      </top>
      <bottom style="thin">
        <color theme="2" tint="-0.249946592608417"/>
      </bottom>
      <diagonal/>
    </border>
    <border>
      <left style="medium">
        <color theme="0" tint="-0.249946592608417"/>
      </left>
      <right style="thin">
        <color auto="1"/>
      </right>
      <top style="thin">
        <color auto="1"/>
      </top>
      <bottom style="thin">
        <color theme="2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2" tint="-0.249946592608417"/>
      </top>
      <bottom style="thin">
        <color auto="1"/>
      </bottom>
      <diagonal/>
    </border>
    <border>
      <left style="thin">
        <color theme="0" tint="-0.249946592608417"/>
      </left>
      <right style="thin">
        <color auto="1"/>
      </right>
      <top style="thin">
        <color theme="2" tint="-0.249946592608417"/>
      </top>
      <bottom style="thin">
        <color auto="1"/>
      </bottom>
      <diagonal/>
    </border>
    <border>
      <left/>
      <right style="thin">
        <color theme="2" tint="-0.249946592608417"/>
      </right>
      <top style="thin">
        <color auto="1"/>
      </top>
      <bottom style="thin">
        <color theme="2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/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7" borderId="43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44" applyAlignment="1">
      <alignment vertical="center"/>
    </xf>
    <xf numFmtId="0" fontId="15" fillId="0" borderId="44" applyAlignment="1">
      <alignment vertical="center"/>
    </xf>
    <xf numFmtId="0" fontId="16" fillId="0" borderId="45" applyAlignment="1">
      <alignment vertical="center"/>
    </xf>
    <xf numFmtId="0" fontId="16" fillId="0" borderId="0" applyAlignment="1">
      <alignment vertical="center"/>
    </xf>
    <xf numFmtId="0" fontId="17" fillId="15" borderId="46" applyAlignment="1">
      <alignment vertical="center"/>
    </xf>
    <xf numFmtId="0" fontId="18" fillId="16" borderId="47" applyAlignment="1">
      <alignment vertical="center"/>
    </xf>
    <xf numFmtId="0" fontId="19" fillId="16" borderId="46" applyAlignment="1">
      <alignment vertical="center"/>
    </xf>
    <xf numFmtId="0" fontId="20" fillId="17" borderId="48" applyAlignment="1">
      <alignment vertical="center"/>
    </xf>
    <xf numFmtId="0" fontId="21" fillId="0" borderId="49" applyAlignment="1">
      <alignment vertical="center"/>
    </xf>
    <xf numFmtId="0" fontId="22" fillId="0" borderId="5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3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4" borderId="0" applyAlignment="1">
      <alignment vertical="center"/>
    </xf>
    <xf numFmtId="0" fontId="27" fillId="14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7" fillId="5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6" borderId="0" applyAlignment="1">
      <alignment vertical="center"/>
    </xf>
    <xf numFmtId="0" fontId="27" fillId="34" borderId="0" applyAlignment="1">
      <alignment vertical="center"/>
    </xf>
    <xf numFmtId="0" fontId="26" fillId="35" borderId="0" applyAlignment="1">
      <alignment vertical="center"/>
    </xf>
    <xf numFmtId="0" fontId="26" fillId="2" borderId="0" applyAlignment="1">
      <alignment vertical="center"/>
    </xf>
    <xf numFmtId="0" fontId="27" fillId="11" borderId="0" applyAlignment="1">
      <alignment vertical="center"/>
    </xf>
    <xf numFmtId="0" fontId="27" fillId="36" borderId="0" applyAlignment="1">
      <alignment vertical="center"/>
    </xf>
    <xf numFmtId="0" fontId="26" fillId="37" borderId="0" applyAlignment="1">
      <alignment vertical="center"/>
    </xf>
  </cellStyleXfs>
  <cellXfs count="19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horizontal="center" wrapText="1"/>
    </xf>
    <xf numFmtId="164" fontId="0" fillId="0" borderId="1" applyAlignment="1" pivotButton="0" quotePrefix="0" xfId="0">
      <alignment vertical="top"/>
    </xf>
    <xf numFmtId="2" fontId="0" fillId="3" borderId="1" applyAlignment="1" pivotButton="0" quotePrefix="0" xfId="0">
      <alignment horizontal="center" vertical="top"/>
    </xf>
    <xf numFmtId="1" fontId="0" fillId="4" borderId="1" applyAlignment="1" pivotButton="0" quotePrefix="0" xfId="0">
      <alignment horizontal="center" vertical="top"/>
    </xf>
    <xf numFmtId="164" fontId="0" fillId="5" borderId="1" applyAlignment="1" pivotButton="0" quotePrefix="0" xfId="0">
      <alignment horizontal="center" vertical="top"/>
    </xf>
    <xf numFmtId="9" fontId="0" fillId="6" borderId="1" pivotButton="0" quotePrefix="0" xfId="3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3" fontId="0" fillId="0" borderId="0" pivotButton="0" quotePrefix="0" xfId="0"/>
    <xf numFmtId="0" fontId="0" fillId="7" borderId="5" pivotButton="0" quotePrefix="0" xfId="0"/>
    <xf numFmtId="3" fontId="0" fillId="7" borderId="6" pivotButton="0" quotePrefix="0" xfId="0"/>
    <xf numFmtId="3" fontId="0" fillId="7" borderId="7" pivotButton="0" quotePrefix="0" xfId="0"/>
    <xf numFmtId="1" fontId="0" fillId="0" borderId="0" pivotButton="0" quotePrefix="0" xfId="0"/>
    <xf numFmtId="0" fontId="0" fillId="7" borderId="8" pivotButton="0" quotePrefix="0" xfId="0"/>
    <xf numFmtId="9" fontId="0" fillId="7" borderId="9" pivotButton="0" quotePrefix="0" xfId="0"/>
    <xf numFmtId="9" fontId="0" fillId="7" borderId="10" pivotButton="0" quotePrefix="0" xfId="0"/>
    <xf numFmtId="0" fontId="3" fillId="0" borderId="8" pivotButton="0" quotePrefix="0" xfId="0"/>
    <xf numFmtId="0" fontId="3" fillId="0" borderId="9" pivotButton="0" quotePrefix="0" xfId="0"/>
    <xf numFmtId="0" fontId="0" fillId="0" borderId="10" pivotButton="0" quotePrefix="0" xfId="0"/>
    <xf numFmtId="1" fontId="0" fillId="0" borderId="8" pivotButton="0" quotePrefix="0" xfId="0"/>
    <xf numFmtId="9" fontId="0" fillId="0" borderId="9" applyAlignment="1" pivotButton="0" quotePrefix="0" xfId="3">
      <alignment horizontal="left" indent="1"/>
    </xf>
    <xf numFmtId="1" fontId="0" fillId="0" borderId="11" pivotButton="0" quotePrefix="0" xfId="0"/>
    <xf numFmtId="9" fontId="0" fillId="0" borderId="12" applyAlignment="1" pivotButton="0" quotePrefix="0" xfId="3">
      <alignment horizontal="left" indent="1"/>
    </xf>
    <xf numFmtId="0" fontId="0" fillId="0" borderId="13" pivotButton="0" quotePrefix="0" xfId="0"/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2" fillId="2" borderId="14" applyAlignment="1" pivotButton="0" quotePrefix="0" xfId="0">
      <alignment wrapText="1"/>
    </xf>
    <xf numFmtId="1" fontId="2" fillId="2" borderId="14" applyAlignment="1" pivotButton="0" quotePrefix="0" xfId="0">
      <alignment wrapText="1"/>
    </xf>
    <xf numFmtId="165" fontId="2" fillId="2" borderId="14" applyAlignment="1" pivotButton="0" quotePrefix="0" xfId="0">
      <alignment wrapText="1"/>
    </xf>
    <xf numFmtId="164" fontId="2" fillId="2" borderId="14" applyAlignment="1" pivotButton="0" quotePrefix="0" xfId="0">
      <alignment wrapText="1"/>
    </xf>
    <xf numFmtId="2" fontId="2" fillId="2" borderId="14" applyAlignment="1" pivotButton="0" quotePrefix="0" xfId="0">
      <alignment wrapText="1"/>
    </xf>
    <xf numFmtId="0" fontId="0" fillId="0" borderId="0" pivotButton="0" quotePrefix="0" xfId="0"/>
    <xf numFmtId="165" fontId="0" fillId="0" borderId="0" pivotButton="0" quotePrefix="0" xfId="0"/>
    <xf numFmtId="1" fontId="0" fillId="0" borderId="0" applyAlignment="1" pivotButton="0" quotePrefix="0" xfId="0">
      <alignment horizontal="left"/>
    </xf>
    <xf numFmtId="3" fontId="2" fillId="2" borderId="14" applyAlignment="1" pivotButton="0" quotePrefix="0" xfId="0">
      <alignment wrapText="1"/>
    </xf>
    <xf numFmtId="0" fontId="1" fillId="2" borderId="1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6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2" fontId="3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2" borderId="3" pivotButton="0" quotePrefix="0" xfId="0"/>
    <xf numFmtId="0" fontId="0" fillId="2" borderId="4" pivotButton="0" quotePrefix="0" xfId="0"/>
    <xf numFmtId="0" fontId="0" fillId="0" borderId="17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18" pivotButton="0" quotePrefix="0" xfId="0"/>
    <xf numFmtId="9" fontId="0" fillId="0" borderId="0" applyAlignment="1" pivotButton="0" quotePrefix="0" xfId="3">
      <alignment horizontal="left"/>
    </xf>
    <xf numFmtId="0" fontId="0" fillId="0" borderId="17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0" fontId="0" fillId="0" borderId="19" applyAlignment="1" pivotButton="0" quotePrefix="0" xfId="0">
      <alignment horizontal="left"/>
    </xf>
    <xf numFmtId="0" fontId="0" fillId="0" borderId="14" applyAlignment="1" pivotButton="0" quotePrefix="0" xfId="0">
      <alignment horizontal="left"/>
    </xf>
    <xf numFmtId="0" fontId="0" fillId="0" borderId="14" pivotButton="0" quotePrefix="0" xfId="0"/>
    <xf numFmtId="0" fontId="0" fillId="0" borderId="20" pivotButton="0" quotePrefix="0" xfId="0"/>
    <xf numFmtId="0" fontId="1" fillId="2" borderId="2" applyAlignment="1" pivotButton="0" quotePrefix="0" xfId="0">
      <alignment horizontal="lef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9" borderId="17" applyAlignment="1" pivotButton="0" quotePrefix="0" xfId="0">
      <alignment horizontal="left" vertical="center" indent="1"/>
    </xf>
    <xf numFmtId="0" fontId="0" fillId="9" borderId="0" applyAlignment="1" pivotButton="0" quotePrefix="0" xfId="0">
      <alignment horizontal="left" vertical="center" indent="1"/>
    </xf>
    <xf numFmtId="2" fontId="0" fillId="9" borderId="14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5" fillId="9" borderId="14" applyAlignment="1" pivotButton="0" quotePrefix="0" xfId="0">
      <alignment horizontal="center" vertical="center"/>
    </xf>
    <xf numFmtId="0" fontId="0" fillId="9" borderId="20" applyAlignment="1" pivotButton="0" quotePrefix="0" xfId="0">
      <alignment horizontal="center" vertical="center"/>
    </xf>
    <xf numFmtId="2" fontId="0" fillId="9" borderId="0" applyAlignment="1" pivotButton="0" quotePrefix="0" xfId="0">
      <alignment horizontal="left" vertical="center" indent="1"/>
    </xf>
    <xf numFmtId="2" fontId="0" fillId="9" borderId="0" applyAlignment="1" pivotButton="0" quotePrefix="0" xfId="0">
      <alignment horizontal="right" vertical="center" indent="1"/>
    </xf>
    <xf numFmtId="1" fontId="0" fillId="9" borderId="0" applyAlignment="1" pivotButton="0" quotePrefix="0" xfId="0">
      <alignment horizontal="right" vertical="center" indent="1"/>
    </xf>
    <xf numFmtId="3" fontId="5" fillId="9" borderId="0" applyAlignment="1" pivotButton="0" quotePrefix="0" xfId="0">
      <alignment horizontal="right" vertical="center" indent="1"/>
    </xf>
    <xf numFmtId="0" fontId="0" fillId="9" borderId="18" pivotButton="0" quotePrefix="0" xfId="0"/>
    <xf numFmtId="3" fontId="3" fillId="9" borderId="0" applyAlignment="1" pivotButton="0" quotePrefix="0" xfId="0">
      <alignment horizontal="left" vertical="center" indent="1"/>
    </xf>
    <xf numFmtId="3" fontId="0" fillId="10" borderId="1" applyAlignment="1" pivotButton="0" quotePrefix="0" xfId="0">
      <alignment horizontal="center" vertical="center"/>
    </xf>
    <xf numFmtId="3" fontId="0" fillId="7" borderId="1" applyAlignment="1" pivotButton="0" quotePrefix="0" xfId="0">
      <alignment horizontal="center" vertical="center"/>
    </xf>
    <xf numFmtId="0" fontId="0" fillId="9" borderId="19" applyAlignment="1" pivotButton="0" quotePrefix="0" xfId="0">
      <alignment horizontal="left" vertical="center" indent="1"/>
    </xf>
    <xf numFmtId="4" fontId="0" fillId="9" borderId="14" applyAlignment="1" pivotButton="0" quotePrefix="0" xfId="0">
      <alignment horizontal="left" vertical="center" indent="1"/>
    </xf>
    <xf numFmtId="2" fontId="0" fillId="9" borderId="14" applyAlignment="1" pivotButton="0" quotePrefix="0" xfId="0">
      <alignment horizontal="left" vertical="center" indent="1"/>
    </xf>
    <xf numFmtId="0" fontId="0" fillId="9" borderId="14" applyAlignment="1" pivotButton="0" quotePrefix="0" xfId="0">
      <alignment horizontal="left" vertical="center"/>
    </xf>
    <xf numFmtId="0" fontId="1" fillId="2" borderId="2" applyAlignment="1" pivotButton="0" quotePrefix="0" xfId="0">
      <alignment vertical="center"/>
    </xf>
    <xf numFmtId="0" fontId="0" fillId="0" borderId="14" applyAlignment="1" pivotButton="0" quotePrefix="0" xfId="0">
      <alignment horizontal="left"/>
    </xf>
    <xf numFmtId="0" fontId="0" fillId="0" borderId="14" pivotButton="0" quotePrefix="0" xfId="0"/>
    <xf numFmtId="0" fontId="0" fillId="0" borderId="20" pivotButton="0" quotePrefix="0" xfId="0"/>
    <xf numFmtId="9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" fontId="0" fillId="0" borderId="0" applyAlignment="1" pivotButton="0" quotePrefix="0" xfId="0">
      <alignment horizontal="left" indent="1"/>
    </xf>
    <xf numFmtId="1" fontId="0" fillId="0" borderId="18" applyAlignment="1" pivotButton="0" quotePrefix="0" xfId="0">
      <alignment horizontal="left" indent="1"/>
    </xf>
    <xf numFmtId="9" fontId="0" fillId="0" borderId="0" applyAlignment="1" pivotButton="0" quotePrefix="0" xfId="3">
      <alignment horizontal="left" indent="1"/>
    </xf>
    <xf numFmtId="9" fontId="0" fillId="0" borderId="18" applyAlignment="1" pivotButton="0" quotePrefix="0" xfId="3">
      <alignment horizontal="left" indent="1"/>
    </xf>
    <xf numFmtId="3" fontId="0" fillId="0" borderId="0" applyAlignment="1" pivotButton="0" quotePrefix="0" xfId="0">
      <alignment horizontal="left" indent="1"/>
    </xf>
    <xf numFmtId="3" fontId="0" fillId="0" borderId="18" applyAlignment="1" pivotButton="0" quotePrefix="0" xfId="0">
      <alignment horizontal="left" indent="1"/>
    </xf>
    <xf numFmtId="1" fontId="0" fillId="0" borderId="0" applyAlignment="1" pivotButton="0" quotePrefix="0" xfId="3">
      <alignment horizontal="left" indent="1"/>
    </xf>
    <xf numFmtId="2" fontId="0" fillId="0" borderId="0" applyAlignment="1" pivotButton="0" quotePrefix="0" xfId="3">
      <alignment horizontal="left" indent="1"/>
    </xf>
    <xf numFmtId="9" fontId="0" fillId="0" borderId="14" applyAlignment="1" pivotButton="0" quotePrefix="0" xfId="3">
      <alignment horizontal="left" indent="1"/>
    </xf>
    <xf numFmtId="3" fontId="0" fillId="0" borderId="0" applyAlignment="1" pivotButton="0" quotePrefix="0" xfId="0">
      <alignment horizontal="left" indent="1"/>
    </xf>
    <xf numFmtId="9" fontId="0" fillId="0" borderId="0" applyAlignment="1" pivotButton="0" quotePrefix="0" xfId="0">
      <alignment horizontal="right" indent="1"/>
    </xf>
    <xf numFmtId="9" fontId="6" fillId="0" borderId="0" pivotButton="0" quotePrefix="0" xfId="3"/>
    <xf numFmtId="1" fontId="0" fillId="0" borderId="0" applyAlignment="1" pivotButton="0" quotePrefix="0" xfId="0">
      <alignment horizontal="right" indent="1"/>
    </xf>
    <xf numFmtId="9" fontId="0" fillId="0" borderId="0" applyAlignment="1" pivotButton="0" quotePrefix="0" xfId="3">
      <alignment horizontal="right" indent="1"/>
    </xf>
    <xf numFmtId="9" fontId="0" fillId="11" borderId="0" applyAlignment="1" pivotButton="0" quotePrefix="0" xfId="0">
      <alignment horizontal="right" indent="1"/>
    </xf>
    <xf numFmtId="0" fontId="0" fillId="0" borderId="0" pivotButton="0" quotePrefix="0" xfId="0"/>
    <xf numFmtId="0" fontId="0" fillId="0" borderId="18" pivotButton="0" quotePrefix="0" xfId="0"/>
    <xf numFmtId="1" fontId="0" fillId="0" borderId="18" applyAlignment="1" pivotButton="0" quotePrefix="0" xfId="3">
      <alignment horizontal="left" indent="1"/>
    </xf>
    <xf numFmtId="9" fontId="0" fillId="0" borderId="14" applyAlignment="1" pivotButton="0" quotePrefix="0" xfId="0">
      <alignment horizontal="right" indent="1"/>
    </xf>
    <xf numFmtId="9" fontId="0" fillId="0" borderId="20" applyAlignment="1" pivotButton="0" quotePrefix="0" xfId="3">
      <alignment horizontal="left" indent="1"/>
    </xf>
    <xf numFmtId="9" fontId="0" fillId="0" borderId="0" applyAlignment="1" pivotButton="0" quotePrefix="0" xfId="0">
      <alignment horizontal="right" indent="1"/>
    </xf>
    <xf numFmtId="9" fontId="0" fillId="0" borderId="0" applyAlignment="1" pivotButton="0" quotePrefix="0" xfId="3">
      <alignment horizontal="right" indent="1"/>
    </xf>
    <xf numFmtId="164" fontId="0" fillId="0" borderId="17" applyAlignment="1" pivotButton="0" quotePrefix="0" xfId="0">
      <alignment horizontal="left"/>
    </xf>
    <xf numFmtId="164" fontId="0" fillId="0" borderId="0" applyAlignment="1" pivotButton="0" quotePrefix="0" xfId="0">
      <alignment horizontal="left" indent="1"/>
    </xf>
    <xf numFmtId="0" fontId="1" fillId="2" borderId="21" applyAlignment="1" pivotButton="0" quotePrefix="0" xfId="0">
      <alignment horizontal="left" indent="1"/>
    </xf>
    <xf numFmtId="0" fontId="3" fillId="5" borderId="22" applyAlignment="1" pivotButton="0" quotePrefix="0" xfId="0">
      <alignment horizontal="left" indent="1"/>
    </xf>
    <xf numFmtId="0" fontId="3" fillId="5" borderId="23" applyAlignment="1" pivotButton="0" quotePrefix="0" xfId="0">
      <alignment horizontal="left" indent="1"/>
    </xf>
    <xf numFmtId="0" fontId="3" fillId="5" borderId="19" applyAlignment="1" pivotButton="0" quotePrefix="0" xfId="0">
      <alignment horizontal="left" indent="1"/>
    </xf>
    <xf numFmtId="0" fontId="1" fillId="2" borderId="24" applyAlignment="1" pivotButton="0" quotePrefix="0" xfId="0">
      <alignment vertical="center"/>
    </xf>
    <xf numFmtId="1" fontId="7" fillId="2" borderId="25" applyAlignment="1" pivotButton="0" quotePrefix="0" xfId="0">
      <alignment horizontal="center" vertical="center"/>
    </xf>
    <xf numFmtId="9" fontId="7" fillId="2" borderId="25" applyAlignment="1" pivotButton="0" quotePrefix="0" xfId="0">
      <alignment horizontal="center" vertical="center"/>
    </xf>
    <xf numFmtId="9" fontId="7" fillId="2" borderId="26" applyAlignment="1" pivotButton="0" quotePrefix="0" xfId="3">
      <alignment horizontal="center" vertical="center"/>
    </xf>
    <xf numFmtId="9" fontId="0" fillId="0" borderId="0" pivotButton="0" quotePrefix="0" xfId="0"/>
    <xf numFmtId="0" fontId="1" fillId="12" borderId="8" applyAlignment="1" pivotButton="0" quotePrefix="0" xfId="0">
      <alignment vertical="center" wrapText="1"/>
    </xf>
    <xf numFmtId="0" fontId="1" fillId="12" borderId="9" applyAlignment="1" pivotButton="0" quotePrefix="0" xfId="0">
      <alignment vertical="center" wrapText="1"/>
    </xf>
    <xf numFmtId="0" fontId="1" fillId="12" borderId="10" applyAlignment="1" pivotButton="0" quotePrefix="0" xfId="0">
      <alignment vertical="center" wrapText="1"/>
    </xf>
    <xf numFmtId="1" fontId="0" fillId="0" borderId="8" applyAlignment="1" pivotButton="0" quotePrefix="0" xfId="0">
      <alignment horizontal="left" indent="1"/>
    </xf>
    <xf numFmtId="1" fontId="0" fillId="0" borderId="9" applyAlignment="1" pivotButton="0" quotePrefix="0" xfId="0">
      <alignment horizontal="left" indent="1"/>
    </xf>
    <xf numFmtId="9" fontId="0" fillId="0" borderId="9" applyAlignment="1" pivotButton="0" quotePrefix="0" xfId="0">
      <alignment horizontal="right" indent="1"/>
    </xf>
    <xf numFmtId="2" fontId="0" fillId="0" borderId="9" applyAlignment="1" pivotButton="0" quotePrefix="0" xfId="0">
      <alignment horizontal="right" indent="1"/>
    </xf>
    <xf numFmtId="9" fontId="0" fillId="0" borderId="10" applyAlignment="1" pivotButton="0" quotePrefix="0" xfId="3">
      <alignment horizontal="right" indent="1"/>
    </xf>
    <xf numFmtId="0" fontId="1" fillId="2" borderId="24" applyAlignment="1" pivotButton="0" quotePrefix="0" xfId="0">
      <alignment horizontal="left" indent="1"/>
    </xf>
    <xf numFmtId="0" fontId="8" fillId="5" borderId="8" applyAlignment="1" pivotButton="0" quotePrefix="0" xfId="0">
      <alignment horizontal="left" indent="1"/>
    </xf>
    <xf numFmtId="0" fontId="8" fillId="5" borderId="11" applyAlignment="1" pivotButton="0" quotePrefix="0" xfId="0">
      <alignment horizontal="left" indent="1"/>
    </xf>
    <xf numFmtId="0" fontId="8" fillId="5" borderId="5" applyAlignment="1" pivotButton="0" quotePrefix="0" xfId="0">
      <alignment horizontal="left" indent="1"/>
    </xf>
    <xf numFmtId="1" fontId="0" fillId="0" borderId="11" applyAlignment="1" pivotButton="0" quotePrefix="0" xfId="0">
      <alignment horizontal="left" indent="1"/>
    </xf>
    <xf numFmtId="1" fontId="0" fillId="0" borderId="12" applyAlignment="1" pivotButton="0" quotePrefix="0" xfId="0">
      <alignment horizontal="left" indent="1"/>
    </xf>
    <xf numFmtId="9" fontId="0" fillId="0" borderId="12" applyAlignment="1" pivotButton="0" quotePrefix="0" xfId="0">
      <alignment horizontal="right" indent="1"/>
    </xf>
    <xf numFmtId="2" fontId="0" fillId="0" borderId="12" applyAlignment="1" pivotButton="0" quotePrefix="0" xfId="0">
      <alignment horizontal="right" indent="1"/>
    </xf>
    <xf numFmtId="9" fontId="0" fillId="0" borderId="13" applyAlignment="1" pivotButton="0" quotePrefix="0" xfId="3">
      <alignment horizontal="right" indent="1"/>
    </xf>
    <xf numFmtId="1" fontId="0" fillId="0" borderId="0" pivotButton="0" quotePrefix="0" xfId="0"/>
    <xf numFmtId="3" fontId="6" fillId="0" borderId="0" pivotButton="0" quotePrefix="0" xfId="0"/>
    <xf numFmtId="9" fontId="0" fillId="0" borderId="0" pivotButton="0" quotePrefix="0" xfId="3"/>
    <xf numFmtId="0" fontId="3" fillId="8" borderId="27" applyAlignment="1" pivotButton="0" quotePrefix="0" xfId="0">
      <alignment horizontal="center" vertical="center"/>
    </xf>
    <xf numFmtId="0" fontId="3" fillId="8" borderId="28" applyAlignment="1" pivotButton="0" quotePrefix="0" xfId="0">
      <alignment horizontal="center" vertical="center"/>
    </xf>
    <xf numFmtId="2" fontId="6" fillId="13" borderId="29" applyAlignment="1" pivotButton="0" quotePrefix="0" xfId="3">
      <alignment horizontal="center" vertical="center"/>
    </xf>
    <xf numFmtId="2" fontId="0" fillId="13" borderId="30" applyAlignment="1" pivotButton="0" quotePrefix="0" xfId="0">
      <alignment horizontal="center" vertical="center"/>
    </xf>
    <xf numFmtId="2" fontId="0" fillId="13" borderId="31" applyAlignment="1" pivotButton="0" quotePrefix="0" xfId="0">
      <alignment horizontal="center" vertical="center"/>
    </xf>
    <xf numFmtId="2" fontId="6" fillId="13" borderId="32" applyAlignment="1" pivotButton="0" quotePrefix="0" xfId="3">
      <alignment horizontal="center" vertical="center"/>
    </xf>
    <xf numFmtId="2" fontId="6" fillId="13" borderId="33" applyAlignment="1" pivotButton="0" quotePrefix="0" xfId="3">
      <alignment horizontal="center" vertical="center"/>
    </xf>
    <xf numFmtId="2" fontId="6" fillId="13" borderId="9" applyAlignment="1" pivotButton="0" quotePrefix="0" xfId="3">
      <alignment horizontal="center" vertical="center"/>
    </xf>
    <xf numFmtId="2" fontId="6" fillId="13" borderId="10" applyAlignment="1" pivotButton="0" quotePrefix="0" xfId="3">
      <alignment horizontal="center" vertical="center"/>
    </xf>
    <xf numFmtId="2" fontId="6" fillId="13" borderId="34" applyAlignment="1" pivotButton="0" quotePrefix="0" xfId="3">
      <alignment horizontal="center" vertical="center"/>
    </xf>
    <xf numFmtId="2" fontId="6" fillId="13" borderId="35" applyAlignment="1" pivotButton="0" quotePrefix="0" xfId="3">
      <alignment horizontal="center" vertical="center"/>
    </xf>
    <xf numFmtId="2" fontId="6" fillId="13" borderId="36" applyAlignment="1" pivotButton="0" quotePrefix="0" xfId="3">
      <alignment horizontal="center" vertical="center"/>
    </xf>
    <xf numFmtId="0" fontId="3" fillId="8" borderId="37" applyAlignment="1" pivotButton="0" quotePrefix="0" xfId="0">
      <alignment horizontal="center" vertical="center"/>
    </xf>
    <xf numFmtId="0" fontId="3" fillId="8" borderId="38" applyAlignment="1" pivotButton="0" quotePrefix="0" xfId="0">
      <alignment horizontal="center" vertical="center"/>
    </xf>
    <xf numFmtId="2" fontId="6" fillId="13" borderId="30" applyAlignment="1" pivotButton="0" quotePrefix="0" xfId="3">
      <alignment horizontal="center" vertical="center"/>
    </xf>
    <xf numFmtId="2" fontId="6" fillId="13" borderId="31" applyAlignment="1" pivotButton="0" quotePrefix="0" xfId="3">
      <alignment horizontal="center" vertical="center"/>
    </xf>
    <xf numFmtId="2" fontId="6" fillId="13" borderId="39" applyAlignment="1" pivotButton="0" quotePrefix="0" xfId="3">
      <alignment horizontal="center" vertical="center"/>
    </xf>
    <xf numFmtId="2" fontId="6" fillId="13" borderId="12" applyAlignment="1" pivotButton="0" quotePrefix="0" xfId="3">
      <alignment horizontal="center" vertical="center"/>
    </xf>
    <xf numFmtId="2" fontId="6" fillId="13" borderId="40" applyAlignment="1" pivotButton="0" quotePrefix="0" xfId="3">
      <alignment horizontal="center" vertical="center"/>
    </xf>
    <xf numFmtId="2" fontId="6" fillId="13" borderId="41" applyAlignment="1" pivotButton="0" quotePrefix="0" xfId="3">
      <alignment horizontal="center" vertical="center"/>
    </xf>
    <xf numFmtId="0" fontId="8" fillId="14" borderId="25" applyAlignment="1" pivotButton="0" quotePrefix="0" xfId="0">
      <alignment horizontal="center" vertical="center"/>
    </xf>
    <xf numFmtId="0" fontId="8" fillId="14" borderId="26" applyAlignment="1" pivotButton="0" quotePrefix="0" xfId="0">
      <alignment horizontal="center" vertical="center"/>
    </xf>
    <xf numFmtId="1" fontId="6" fillId="13" borderId="9" applyAlignment="1" pivotButton="0" quotePrefix="0" xfId="3">
      <alignment horizontal="center" vertical="center"/>
    </xf>
    <xf numFmtId="1" fontId="0" fillId="13" borderId="10" applyAlignment="1" pivotButton="0" quotePrefix="0" xfId="3">
      <alignment horizontal="center" vertical="center"/>
    </xf>
    <xf numFmtId="1" fontId="6" fillId="13" borderId="12" applyAlignment="1" pivotButton="0" quotePrefix="0" xfId="3">
      <alignment horizontal="center" vertical="center"/>
    </xf>
    <xf numFmtId="1" fontId="0" fillId="13" borderId="13" applyAlignment="1" pivotButton="0" quotePrefix="0" xfId="3">
      <alignment horizontal="center" vertical="center"/>
    </xf>
    <xf numFmtId="0" fontId="8" fillId="14" borderId="27" applyAlignment="1" pivotButton="0" quotePrefix="0" xfId="0">
      <alignment horizontal="center" vertical="center"/>
    </xf>
    <xf numFmtId="0" fontId="8" fillId="14" borderId="37" applyAlignment="1" pivotButton="0" quotePrefix="0" xfId="0">
      <alignment horizontal="center" vertical="center"/>
    </xf>
    <xf numFmtId="0" fontId="8" fillId="14" borderId="38" applyAlignment="1" pivotButton="0" quotePrefix="0" xfId="0">
      <alignment horizontal="center" vertical="center"/>
    </xf>
    <xf numFmtId="2" fontId="0" fillId="13" borderId="31" applyAlignment="1" pivotButton="0" quotePrefix="0" xfId="3">
      <alignment horizontal="center" vertical="center"/>
    </xf>
    <xf numFmtId="2" fontId="0" fillId="13" borderId="10" applyAlignment="1" pivotButton="0" quotePrefix="0" xfId="3">
      <alignment horizontal="center" vertical="center"/>
    </xf>
    <xf numFmtId="2" fontId="0" fillId="13" borderId="13" applyAlignment="1" pivotButton="0" quotePrefix="0" xfId="3">
      <alignment horizontal="center" vertical="center"/>
    </xf>
    <xf numFmtId="0" fontId="8" fillId="14" borderId="42" applyAlignment="1" pivotButton="0" quotePrefix="0" xfId="0">
      <alignment horizontal="center" vertical="center"/>
    </xf>
    <xf numFmtId="9" fontId="6" fillId="13" borderId="6" applyAlignment="1" pivotButton="0" quotePrefix="0" xfId="3">
      <alignment horizontal="center" vertical="center"/>
    </xf>
    <xf numFmtId="9" fontId="0" fillId="13" borderId="7" applyAlignment="1" pivotButton="0" quotePrefix="0" xfId="3">
      <alignment horizontal="center" vertical="center"/>
    </xf>
    <xf numFmtId="9" fontId="6" fillId="13" borderId="9" applyAlignment="1" pivotButton="0" quotePrefix="0" xfId="3">
      <alignment horizontal="center" vertical="center"/>
    </xf>
    <xf numFmtId="9" fontId="0" fillId="13" borderId="10" applyAlignment="1" pivotButton="0" quotePrefix="0" xfId="3">
      <alignment horizontal="center" vertical="center"/>
    </xf>
    <xf numFmtId="9" fontId="6" fillId="13" borderId="12" applyAlignment="1" pivotButton="0" quotePrefix="0" xfId="3">
      <alignment horizontal="center" vertical="center"/>
    </xf>
    <xf numFmtId="9" fontId="0" fillId="13" borderId="13" applyAlignment="1" pivotButton="0" quotePrefix="0" xfId="3">
      <alignment horizontal="center" vertical="center"/>
    </xf>
    <xf numFmtId="164" fontId="0" fillId="0" borderId="19" applyAlignment="1" pivotButton="0" quotePrefix="0" xfId="0">
      <alignment horizontal="left"/>
    </xf>
    <xf numFmtId="1" fontId="0" fillId="0" borderId="14" applyAlignment="1" pivotButton="0" quotePrefix="0" xfId="0">
      <alignment horizontal="left" indent="1"/>
    </xf>
    <xf numFmtId="164" fontId="0" fillId="0" borderId="14" applyAlignment="1" pivotButton="0" quotePrefix="0" xfId="0">
      <alignment horizontal="left" indent="1"/>
    </xf>
    <xf numFmtId="164" fontId="0" fillId="0" borderId="17" applyAlignment="1" pivotButton="0" quotePrefix="0" xfId="0">
      <alignment horizontal="left"/>
    </xf>
    <xf numFmtId="164" fontId="0" fillId="0" borderId="0" applyAlignment="1" pivotButton="0" quotePrefix="0" xfId="0">
      <alignment horizontal="left" indent="1"/>
    </xf>
    <xf numFmtId="164" fontId="0" fillId="0" borderId="19" applyAlignment="1" pivotButton="0" quotePrefix="0" xfId="0">
      <alignment horizontal="left"/>
    </xf>
    <xf numFmtId="164" fontId="0" fillId="0" borderId="14" applyAlignment="1" pivotButton="0" quotePrefix="0" xfId="0">
      <alignment horizontal="left" indent="1"/>
    </xf>
    <xf numFmtId="0" fontId="0" fillId="0" borderId="16" pivotButton="0" quotePrefix="0" xfId="0"/>
    <xf numFmtId="164" fontId="0" fillId="0" borderId="0" pivotButton="0" quotePrefix="0" xfId="0"/>
    <xf numFmtId="165" fontId="2" fillId="2" borderId="14" applyAlignment="1" pivotButton="0" quotePrefix="0" xfId="0">
      <alignment wrapText="1"/>
    </xf>
    <xf numFmtId="164" fontId="2" fillId="2" borderId="14" applyAlignment="1" pivotButton="0" quotePrefix="0" xfId="0">
      <alignment wrapText="1"/>
    </xf>
    <xf numFmtId="165" fontId="0" fillId="0" borderId="0" pivotButton="0" quotePrefix="0" xfId="0"/>
    <xf numFmtId="164" fontId="0" fillId="0" borderId="1" applyAlignment="1" pivotButton="0" quotePrefix="0" xfId="0">
      <alignment vertical="top"/>
    </xf>
    <xf numFmtId="164" fontId="0" fillId="5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0">
    <dxf>
      <font>
        <name val="Calibri"/>
        <family val="2"/>
        <strike val="0"/>
        <color theme="1"/>
        <sz val="11"/>
      </font>
      <numFmt numFmtId="1" formatCode="0"/>
      <fill>
        <patternFill patternType="solid">
          <fgColor theme="9" tint="0.799981688894314"/>
          <bgColor theme="9" tint="0.799981688894314"/>
        </patternFill>
      </fill>
      <alignment horizontal="left" indent="1"/>
      <border>
        <left/>
        <right style="thin">
          <color theme="0" tint="-0.249946592608417"/>
        </right>
        <top style="thin">
          <color theme="0" tint="-0.249946592608417"/>
        </top>
        <bottom style="thin">
          <color theme="0" tint="-0.249946592608417"/>
        </bottom>
      </border>
    </dxf>
    <dxf>
      <font>
        <name val="Calibri"/>
        <family val="2"/>
        <strike val="0"/>
        <color theme="1"/>
        <sz val="11"/>
      </font>
      <numFmt numFmtId="1" formatCode="0"/>
      <fill>
        <patternFill patternType="solid">
          <fgColor theme="9" tint="0.799981688894314"/>
          <bgColor theme="9" tint="0.799981688894314"/>
        </patternFill>
      </fill>
      <alignment horizontal="left" indent="1"/>
      <border>
        <left style="thin">
          <color theme="0" tint="-0.249946592608417"/>
        </left>
        <right style="thin">
          <color theme="0" tint="-0.249946592608417"/>
        </right>
        <top style="thin">
          <color theme="0" tint="-0.249946592608417"/>
        </top>
        <bottom style="thin">
          <color theme="0" tint="-0.249946592608417"/>
        </bottom>
      </border>
    </dxf>
    <dxf>
      <font>
        <name val="Calibri"/>
        <family val="2"/>
        <strike val="0"/>
        <color theme="1"/>
        <sz val="11"/>
      </font>
      <numFmt numFmtId="9" formatCode="0%"/>
      <fill>
        <patternFill patternType="solid">
          <fgColor theme="9" tint="0.799981688894314"/>
          <bgColor theme="9" tint="0.799981688894314"/>
        </patternFill>
      </fill>
      <alignment horizontal="right" indent="1"/>
      <border>
        <left style="thin">
          <color theme="0" tint="-0.249946592608417"/>
        </left>
        <right style="thin">
          <color theme="0" tint="-0.249946592608417"/>
        </right>
        <top style="thin">
          <color theme="0" tint="-0.249946592608417"/>
        </top>
        <bottom style="thin">
          <color theme="0" tint="-0.249946592608417"/>
        </bottom>
      </border>
    </dxf>
    <dxf>
      <font>
        <name val="Calibri"/>
        <family val="2"/>
        <strike val="0"/>
        <color theme="1"/>
        <sz val="11"/>
      </font>
      <numFmt numFmtId="2" formatCode="0.00"/>
      <fill>
        <patternFill patternType="solid">
          <fgColor theme="9" tint="0.799981688894314"/>
          <bgColor theme="9" tint="0.799981688894314"/>
        </patternFill>
      </fill>
      <alignment horizontal="right" indent="1"/>
      <border>
        <left style="thin">
          <color theme="0" tint="-0.249946592608417"/>
        </left>
        <right style="thin">
          <color theme="0" tint="-0.249946592608417"/>
        </right>
        <top style="thin">
          <color theme="0" tint="-0.249946592608417"/>
        </top>
        <bottom style="thin">
          <color theme="0" tint="-0.249946592608417"/>
        </bottom>
      </border>
    </dxf>
    <dxf>
      <font>
        <name val="Calibri"/>
        <family val="2"/>
        <strike val="0"/>
        <color theme="1"/>
        <sz val="11"/>
      </font>
      <numFmt numFmtId="9" formatCode="0%"/>
      <fill>
        <patternFill patternType="solid">
          <fgColor theme="9" tint="0.799981688894314"/>
          <bgColor theme="9" tint="0.799981688894314"/>
        </patternFill>
      </fill>
      <alignment horizontal="right" indent="1"/>
      <border>
        <left style="thin">
          <color theme="0" tint="-0.249946592608417"/>
        </left>
        <right/>
        <top style="thin">
          <color theme="0" tint="-0.249946592608417"/>
        </top>
        <bottom style="thin">
          <color theme="0" tint="-0.249946592608417"/>
        </bottom>
      </border>
    </dxf>
    <dxf>
      <font>
        <name val="Calibri"/>
        <family val="2"/>
        <sz val="11"/>
      </font>
      <alignment horizontal="left"/>
    </dxf>
    <dxf>
      <font>
        <name val="Calibri"/>
        <family val="2"/>
        <sz val="11"/>
      </font>
      <alignment horizontal="left" indent="1"/>
    </dxf>
    <dxf>
      <font>
        <name val="Calibri"/>
        <family val="2"/>
        <sz val="11"/>
      </font>
      <numFmt numFmtId="9" formatCode="0%"/>
      <alignment horizontal="right" indent="1"/>
    </dxf>
    <dxf>
      <font>
        <name val="Calibri"/>
        <family val="2"/>
        <sz val="11"/>
      </font>
      <numFmt numFmtId="9" formatCode="0%"/>
      <alignment horizontal="right" indent="1"/>
    </dxf>
    <dxf>
      <font>
        <name val="Calibri"/>
        <family val="2"/>
        <strike val="0"/>
        <color rgb="FF333333"/>
        <sz val="11"/>
      </font>
    </dxf>
    <dxf>
      <font>
        <name val="Calibri"/>
        <family val="2"/>
        <sz val="11"/>
      </font>
      <numFmt numFmtId="1" formatCode="0"/>
      <alignment horizontal="right" indent="1"/>
    </dxf>
    <dxf>
      <font>
        <name val="Calibri"/>
        <family val="2"/>
        <strike val="0"/>
        <color theme="1"/>
        <sz val="11"/>
      </font>
      <alignment horizontal="right" indent="1"/>
    </dxf>
    <dxf>
      <font>
        <color rgb="FF9C0006"/>
      </font>
      <fill>
        <patternFill patternType="solid">
          <bgColor rgb="FFFFDCE1"/>
        </patternFill>
      </fill>
    </dxf>
    <dxf>
      <fill>
        <patternFill patternType="solid">
          <bgColor theme="0" tint="-0.0499893185216834"/>
        </patternFill>
      </fill>
    </dxf>
    <dxf>
      <font>
        <color rgb="FF006100"/>
      </font>
      <fill>
        <patternFill patternType="solid">
          <bgColor rgb="FFCCECFF"/>
        </patternFill>
      </fill>
    </dxf>
    <dxf>
      <font>
        <name val="Calibri"/>
        <family val="2"/>
        <strike val="0"/>
        <sz val="11"/>
      </font>
    </dxf>
    <dxf>
      <font>
        <name val="Calibri"/>
        <family val="2"/>
        <strike val="0"/>
        <sz val="11"/>
      </font>
      <numFmt numFmtId="0" formatCode="General"/>
    </dxf>
    <dxf>
      <font>
        <name val="Calibri"/>
        <family val="2"/>
        <strike val="0"/>
        <sz val="11"/>
      </font>
      <numFmt numFmtId="177" formatCode="[$-409]d\-mmm\-yy;@"/>
    </dxf>
    <dxf>
      <font>
        <name val="Calibri"/>
        <family val="2"/>
        <strike val="0"/>
        <sz val="11"/>
      </font>
      <numFmt numFmtId="176" formatCode="h:mm;@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</dxf>
    <dxf>
      <font>
        <name val="Calibri"/>
        <family val="2"/>
        <strike val="0"/>
        <sz val="11"/>
      </font>
    </dxf>
    <dxf>
      <font>
        <name val="Calibri"/>
        <family val="2"/>
        <strike val="0"/>
        <sz val="11"/>
      </font>
      <numFmt numFmtId="1" formatCode="0"/>
      <alignment horizontal="left"/>
    </dxf>
    <dxf>
      <font>
        <name val="Calibri"/>
        <family val="2"/>
        <strike val="0"/>
        <sz val="11"/>
      </font>
    </dxf>
    <dxf>
      <font>
        <name val="Calibri"/>
        <family val="2"/>
        <strike val="0"/>
        <sz val="11"/>
      </font>
      <numFmt numFmtId="3" formatCode="#,##0"/>
    </dxf>
    <dxf>
      <font>
        <name val="Calibri"/>
        <family val="2"/>
        <strike val="0"/>
        <sz val="11"/>
      </font>
      <numFmt numFmtId="3" formatCode="#,##0"/>
    </dxf>
    <dxf>
      <font>
        <name val="Calibri"/>
        <family val="2"/>
        <strike val="0"/>
        <sz val="11"/>
      </font>
    </dxf>
    <dxf>
      <fill>
        <patternFill patternType="solid">
          <bgColor theme="9" tint="0.799981688894314"/>
        </patternFill>
      </fill>
    </dxf>
    <dxf>
      <fill>
        <patternFill patternType="solid">
          <bgColor rgb="FFFCE9DC"/>
        </patternFill>
      </fill>
    </dxf>
    <dxf>
      <fill>
        <patternFill patternType="solid">
          <bgColor theme="8" tint="0.79998168889431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/>
      </fill>
    </dxf>
    <dxf>
      <border>
        <left style="thin">
          <color theme="0" tint="-0.249946592608417"/>
        </left>
        <right style="thin">
          <color theme="0" tint="-0.249946592608417"/>
        </right>
        <top style="thin">
          <color theme="0" tint="-0.249946592608417"/>
        </top>
        <bottom style="thin">
          <color theme="0" tint="-0.249946592608417"/>
        </bottom>
        <vertical style="thin">
          <color theme="0" tint="-0.249946592608417"/>
        </vertical>
        <horizontal style="thin">
          <color theme="0" tint="-0.249946592608417"/>
        </horizontal>
      </border>
    </dxf>
  </dxfs>
  <tableStyles count="2" defaultTableStyle="TableStyleMedium2" defaultPivotStyle="PivotStyleLight16">
    <tableStyle name="Table Style 1" pivot="0" count="0"/>
    <tableStyle name="Table Style 2" pivot="0" count="2">
      <tableStyleElement type="wholeTable" dxfId="39"/>
      <tableStyleElement type="secondRowStripe" dxfId="38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t" anchorCtr="1"/>
          <a:lstStyle/>
          <a:p>
            <a:pPr>
              <a:defRPr lang="zh-CN" sz="1800" b="1" i="0" strike="noStrike" kern="1200" cap="all" spc="150" baseline="0">
                <a:solidFill>
                  <a:schemeClr val="accent6"/>
                </a:solidFill>
                <effectLst/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chemeClr val="tx1"/>
                </a:solidFill>
                <effectLst/>
              </a:rPr>
              <a:t>ROLLING LAST 10 WEEKS</a:t>
            </a:r>
            <a:endParaRPr lang="en-US" sz="1400" b="0">
              <a:solidFill>
                <a:schemeClr val="tx1"/>
              </a:solidFill>
              <effectLst/>
            </a:endParaRPr>
          </a:p>
        </rich>
      </tx>
      <layout>
        <manualLayout>
          <xMode val="edge"/>
          <yMode val="edge"/>
          <wMode val="factor"/>
          <hMode val="factor"/>
          <x val="0.124735621639528"/>
          <y val="0.0299625468164794"/>
        </manualLayout>
      </layout>
      <overlay val="1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140655233629777"/>
          <y val="0.07842106815299769"/>
          <w val="0.972724817164845"/>
          <h val="0.779256834468725"/>
        </manualLayout>
      </layout>
      <barChart>
        <barDir val="col"/>
        <grouping val="stacked"/>
        <varyColors val="0"/>
        <ser>
          <idx val="0"/>
          <order val="0"/>
          <tx>
            <strRef>
              <f>"Trades"</f>
              <strCache>
                <ptCount val="1"/>
                <pt idx="0">
                  <v>Trades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elete val="1"/>
          </dLbls>
          <cat>
            <numRef>
              <f>'RESULTS 1'!$J$14:$J$23</f>
              <numCache>
                <formatCode>0</formatCode>
                <ptCount val="10"/>
                <pt idx="0">
                  <v>202114</v>
                </pt>
                <pt idx="1">
                  <v>202113</v>
                </pt>
                <pt idx="2">
                  <v>202112</v>
                </pt>
                <pt idx="3">
                  <v>202111</v>
                </pt>
                <pt idx="4">
                  <v>202110</v>
                </pt>
                <pt idx="5">
                  <v>202109</v>
                </pt>
                <pt idx="6">
                  <v>202108</v>
                </pt>
                <pt idx="7">
                  <v>202107</v>
                </pt>
                <pt idx="8">
                  <v>202106</v>
                </pt>
                <pt idx="9">
                  <v>202105</v>
                </pt>
              </numCache>
            </numRef>
          </cat>
          <val>
            <numRef>
              <f>'RESULTS 1'!$K$14:$K$23</f>
              <numCache>
                <formatCode>0</formatCode>
                <ptCount val="10"/>
                <pt idx="0">
                  <v>3</v>
                </pt>
                <pt idx="1">
                  <v>4</v>
                </pt>
                <pt idx="2">
                  <v>6</v>
                </pt>
                <pt idx="3">
                  <v>10</v>
                </pt>
                <pt idx="4">
                  <v>12</v>
                </pt>
                <pt idx="5">
                  <v>5</v>
                </pt>
                <pt idx="6">
                  <v>0</v>
                </pt>
                <pt idx="7">
                  <v>9</v>
                </pt>
                <pt idx="8">
                  <v>9</v>
                </pt>
                <pt idx="9">
                  <v>0</v>
                </pt>
              </numCache>
            </numRef>
          </val>
        </ser>
        <ser>
          <idx val="1"/>
          <order val="1"/>
          <tx>
            <strRef>
              <f>"G/L"</f>
              <strCache>
                <ptCount val="1"/>
                <pt idx="0">
                  <v>G/L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dLbls>
            <delete val="1"/>
          </dLbls>
          <cat>
            <numRef>
              <f>'RESULTS 1'!$J$14:$J$23</f>
              <numCache>
                <formatCode>0</formatCode>
                <ptCount val="10"/>
                <pt idx="0">
                  <v>202114</v>
                </pt>
                <pt idx="1">
                  <v>202113</v>
                </pt>
                <pt idx="2">
                  <v>202112</v>
                </pt>
                <pt idx="3">
                  <v>202111</v>
                </pt>
                <pt idx="4">
                  <v>202110</v>
                </pt>
                <pt idx="5">
                  <v>202109</v>
                </pt>
                <pt idx="6">
                  <v>202108</v>
                </pt>
                <pt idx="7">
                  <v>202107</v>
                </pt>
                <pt idx="8">
                  <v>202106</v>
                </pt>
                <pt idx="9">
                  <v>202105</v>
                </pt>
              </numCache>
            </numRef>
          </cat>
          <val>
            <numRef>
              <f>'RESULTS 1'!$M$14:$M$23</f>
              <numCache>
                <formatCode>0.00</formatCode>
                <ptCount val="10"/>
                <pt idx="0">
                  <v>4.63</v>
                </pt>
                <pt idx="1">
                  <v>1.15</v>
                </pt>
                <pt idx="2">
                  <v>20.11</v>
                </pt>
                <pt idx="3">
                  <v>25.94</v>
                </pt>
                <pt idx="4">
                  <v>15.66</v>
                </pt>
                <pt idx="5">
                  <v>12.21</v>
                </pt>
                <pt idx="6">
                  <v>0</v>
                </pt>
                <pt idx="7">
                  <v>20.4</v>
                </pt>
                <pt idx="8">
                  <v>5.38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10"/>
        <overlap val="100"/>
        <axId val="806380240"/>
        <axId val="806382208"/>
      </barChart>
      <catAx>
        <axId val="806380240"/>
        <scaling>
          <orientation val="maxMin"/>
        </scaling>
        <delete val="1"/>
        <axPos val="b"/>
        <numFmt formatCode="0" sourceLinked="1"/>
        <majorTickMark val="out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06382208"/>
        <crosses val="autoZero"/>
        <auto val="1"/>
        <lblAlgn val="ctr"/>
        <lblOffset val="150"/>
        <noMultiLvlLbl val="0"/>
      </catAx>
      <valAx>
        <axId val="806382208"/>
        <scaling>
          <orientation val="minMax"/>
        </scaling>
        <delete val="1"/>
        <axPos val="r"/>
        <majorGridlines>
          <spPr>
            <a:ln>
              <a:noFill/>
              <a:prstDash val="solid"/>
            </a:ln>
          </spPr>
        </majorGridlines>
        <numFmt formatCode="0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06380240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356022050641728"/>
          <y val="0.873703736471143"/>
          <w val="0.296585887929057"/>
          <h val="0.12629626352885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  <spPr>
    <a:solidFill>
      <a:schemeClr val="bg1"/>
    </a:solidFill>
    <a:ln w="6350" cap="flat" cmpd="sng" algn="ctr">
      <a:solidFill>
        <a:schemeClr val="tx1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9525</colOff>
      <row>1</row>
      <rowOff>9525</rowOff>
    </from>
    <to>
      <col>14</col>
      <colOff>0</colOff>
      <row>9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2" displayName="Table2" ref="J13:N23" headerRowCount="1" totalsRowShown="0">
  <autoFilter ref="J13:N2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</autoFilter>
  <tableColumns count="5">
    <tableColumn id="1" name="WEEK" dataDxfId="0">
      <calculatedColumnFormula>IF(ROW()&gt;=15,$J13-1,MAX(Table1[WEEK]))</calculatedColumnFormula>
    </tableColumn>
    <tableColumn id="2" name="TRADES" dataDxfId="1">
      <calculatedColumnFormula>COUNTIF(Table1[WEEK],$J14)</calculatedColumnFormula>
    </tableColumn>
    <tableColumn id="3" name="WIN %" dataDxfId="2">
      <calculatedColumnFormula>COUNTIFS(Table1[POINTS G/L],"&gt;0",Table1[WEEK],J14)/COUNTIFS(Table1[WEEK],J14)</calculatedColumnFormula>
    </tableColumn>
    <tableColumn id="4" name="POINTS" dataDxfId="3">
      <calculatedColumnFormula>SUMIFS(Table1[POINTS G/L],Table1[WEEK],$J14)</calculatedColumnFormula>
    </tableColumn>
    <tableColumn id="5" name="ENTRY %" dataDxfId="4">
      <calculatedColumnFormula>IFERROR(COUNTIFS(Table1[ENTRY ATTEMPT],"=1",Table1[WEEK],$J14)/COUNTIFS(Table1[ENTRY ATTEMPT],"&lt;&gt;",Table1[WEEK],$J14),0)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B41:H48" headerRowCount="1" totalsRowShown="0">
  <autoFilter ref="B41:H48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</autoFilter>
  <sortState ref="B41:H48">
    <sortCondition descending="1" ref="C42:C48"/>
  </sortState>
  <tableColumns count="7">
    <tableColumn id="1" name="Setup" dataDxfId="5"/>
    <tableColumn id="2" name="Trades" dataDxfId="6">
      <calculatedColumnFormula>COUNTIF(Table1[SETUP],B42)</calculatedColumnFormula>
    </tableColumn>
    <tableColumn id="3" name="Trades %" dataDxfId="7">
      <calculatedColumnFormula>SUM(COUNTIF(Table1[SETUP],B42)/COUNTA(Table1[SETUP]))</calculatedColumnFormula>
    </tableColumn>
    <tableColumn id="4" name="Win %" dataDxfId="8">
      <calculatedColumnFormula>SUM(COUNTIFS(Table1[SETUP],B42,Table1[POINTS G/L],"&gt;=0")/COUNTIF(Table1[SETUP],B42))</calculatedColumnFormula>
    </tableColumn>
    <tableColumn id="5" name="Last 5 Wk" dataDxfId="9">
      <calculatedColumnFormula>IFERROR(COUNTIFS(Table1[SETUP],B42,Table1[POINTS G/L],"&gt;=0",Table1[WEEK],"&gt;="&amp;MAX(Table1[WEEK])-4)/COUNTIFS(Table1[SETUP],B42,Table1[WEEK],"&gt;="&amp;MAX(Table1[WEEK])-4),"")</calculatedColumnFormula>
    </tableColumn>
    <tableColumn id="6" name="Points G/L" dataDxfId="10">
      <calculatedColumnFormula>SUMIFS(Table1[POINTS G/L],Table1[SETUP],B42)</calculatedColumnFormula>
    </tableColumn>
    <tableColumn id="7" name="Entry %" dataDxfId="11">
      <calculatedColumnFormula>COUNTIFS(Table1[ENTRY ATTEMPT],"=1",Table1[SETUP],B42)/COUNTIFS(Table1[ENTRY ATTEMPT],"&lt;&gt;",Table1[SETUP],B42)</calculatedColumnFormula>
    </tableColumn>
  </tableColumns>
  <tableStyleInfo name="Table Style 2" showFirstColumn="0" showLastColumn="0" showRowStripes="1" showColumnStripes="0"/>
</table>
</file>

<file path=xl/tables/table3.xml><?xml version="1.0" encoding="utf-8"?>
<table xmlns="http://schemas.openxmlformats.org/spreadsheetml/2006/main" id="3" name="Table1" displayName="Table1" ref="A1:S59" headerRowCount="1" totalsRowShown="0">
  <autoFilter ref="A1:S59"/>
  <sortState ref="A1:S59">
    <sortCondition ref="C2:C59"/>
    <sortCondition ref="D2:D59"/>
    <sortCondition ref="A2:A59"/>
  </sortState>
  <tableColumns count="19">
    <tableColumn id="1" name="TICKER" dataDxfId="15"/>
    <tableColumn id="12" name="WEEK" dataDxfId="16">
      <calculatedColumnFormula>VALUE(YEAR(Table1[[#This Row],[DATE]])&amp;TEXT(WEEKNUM(Table1[[#This Row],[DATE]])-1,"00"))</calculatedColumnFormula>
    </tableColumn>
    <tableColumn id="2" name="DATE" dataDxfId="17"/>
    <tableColumn id="3" name="TIME" dataDxfId="18"/>
    <tableColumn id="19" name="PDC" dataDxfId="19"/>
    <tableColumn id="20" name="PM MAX GAP" dataDxfId="20"/>
    <tableColumn id="5" name="ENTRY" dataDxfId="21"/>
    <tableColumn id="17" name="DD" dataDxfId="22"/>
    <tableColumn id="6" name="HIGH" dataDxfId="23"/>
    <tableColumn id="9" name="EXIT" dataDxfId="24"/>
    <tableColumn id="10" name="POINTS G/L" dataDxfId="25">
      <calculatedColumnFormula>Table1[[#This Row],[EXIT]]-Table1[[#This Row],[ENTRY]]</calculatedColumnFormula>
    </tableColumn>
    <tableColumn id="4" name="MAX GAIN" dataDxfId="26">
      <calculatedColumnFormula>Table1[[#This Row],[HIGH]]-Table1[[#This Row],[ENTRY]]</calculatedColumnFormula>
    </tableColumn>
    <tableColumn id="13" name="SETUP" dataDxfId="27"/>
    <tableColumn id="14" name="EXIT REASON" dataDxfId="28"/>
    <tableColumn id="18" name="ENTRY ATTEMPT" dataDxfId="29"/>
    <tableColumn id="7" name="SPACE" dataDxfId="30"/>
    <tableColumn id="8" name="MARKET CAP" dataDxfId="31"/>
    <tableColumn id="11" name="FLOAT" dataDxfId="32"/>
    <tableColumn id="16" name="CHART" dataDxfId="33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3.xml.rels><Relationships xmlns="http://schemas.openxmlformats.org/package/2006/relationships"><Relationship Type="http://schemas.openxmlformats.org/officeDocument/2006/relationships/hyperlink" Target="../../../Documents/Trading/Charts/fsr-20210212.png" TargetMode="External" Id="rId1" /><Relationship Type="http://schemas.openxmlformats.org/officeDocument/2006/relationships/hyperlink" Target="../../../Documents/Trading/Charts/imgn-20210212.png" TargetMode="External" Id="rId2" /><Relationship Type="http://schemas.openxmlformats.org/officeDocument/2006/relationships/hyperlink" Target="../../../Documents/Trading/Charts/fsr-20210212.png" TargetMode="External" Id="rId3" /><Relationship Type="http://schemas.openxmlformats.org/officeDocument/2006/relationships/hyperlink" Target="../../../Documents/Trading/Charts/bngo-20210212.png" TargetMode="External" Id="rId4" /><Relationship Type="http://schemas.openxmlformats.org/officeDocument/2006/relationships/hyperlink" Target="../../../Documents/Trading/Charts/bngo-20210212.png" TargetMode="External" Id="rId5" /><Relationship Type="http://schemas.openxmlformats.org/officeDocument/2006/relationships/hyperlink" Target="../../../Documents/Trading/Charts/trch-20210216.png" TargetMode="External" Id="rId6" /><Relationship Type="http://schemas.openxmlformats.org/officeDocument/2006/relationships/hyperlink" Target="../../../Documents/Trading/Charts/apha-20210216.png" TargetMode="External" Id="rId7" /><Relationship Type="http://schemas.openxmlformats.org/officeDocument/2006/relationships/hyperlink" Target="../../../Documents/Trading/Charts/mvis-20210216.png" TargetMode="External" Id="rId8" /><Relationship Type="http://schemas.openxmlformats.org/officeDocument/2006/relationships/hyperlink" Target="../../../Documents/Trading/Charts/sckt-20210216.png" TargetMode="External" Id="rId9" /><Relationship Type="http://schemas.openxmlformats.org/officeDocument/2006/relationships/hyperlink" Target="../../../Documents/Trading/Charts/apha-20210216.png" TargetMode="External" Id="rId10" /><Relationship Type="http://schemas.openxmlformats.org/officeDocument/2006/relationships/hyperlink" Target="../../../Documents/Trading/Charts/sckt-20210216.png" TargetMode="External" Id="rId11" /><Relationship Type="http://schemas.openxmlformats.org/officeDocument/2006/relationships/hyperlink" Target="../../../Documents/Trading/Charts/can-20210219.png" TargetMode="External" Id="rId12" /><Relationship Type="http://schemas.openxmlformats.org/officeDocument/2006/relationships/hyperlink" Target="../../../Documents/Trading/Charts/vcnx-20210219.png" TargetMode="External" Id="rId13" /><Relationship Type="http://schemas.openxmlformats.org/officeDocument/2006/relationships/hyperlink" Target="../../../Documents/Trading/Charts/amtx-20210302.jpg" TargetMode="External" Id="rId14" /><Relationship Type="http://schemas.openxmlformats.org/officeDocument/2006/relationships/hyperlink" Target="../../../Documents/Trading/Charts/amtx-20210302.jpg" TargetMode="External" Id="rId15" /><Relationship Type="http://schemas.openxmlformats.org/officeDocument/2006/relationships/hyperlink" Target="../../../Documents/Trading/Charts/eyes-20210305.jpg" TargetMode="External" Id="rId16" /><Relationship Type="http://schemas.openxmlformats.org/officeDocument/2006/relationships/hyperlink" Target="../../../Documents/Trading/Charts/bngo-20210308.jpg" TargetMode="External" Id="rId17" /><Relationship Type="http://schemas.openxmlformats.org/officeDocument/2006/relationships/hyperlink" Target="../../../Documents/Trading/Charts/bngo-20210308.jpg" TargetMode="External" Id="rId18" /><Relationship Type="http://schemas.openxmlformats.org/officeDocument/2006/relationships/hyperlink" Target="../../../Documents/Trading/Charts/eyes-20210305.jpg" TargetMode="External" Id="rId19" /><Relationship Type="http://schemas.openxmlformats.org/officeDocument/2006/relationships/hyperlink" Target="../../../Documents/Trading/Charts/invo-20210309.jpg" TargetMode="External" Id="rId20" /><Relationship Type="http://schemas.openxmlformats.org/officeDocument/2006/relationships/hyperlink" Target="../../../Documents/Trading/Charts/xela-20210309.jpg" TargetMode="External" Id="rId21" /><Relationship Type="http://schemas.openxmlformats.org/officeDocument/2006/relationships/hyperlink" Target="../../../Documents/Trading/Charts/ocgn-20210311.jpg" TargetMode="External" Id="rId22" /><Relationship Type="http://schemas.openxmlformats.org/officeDocument/2006/relationships/hyperlink" Target="../../../Documents/Trading/Charts/entx-20210311.jpg" TargetMode="External" Id="rId23" /><Relationship Type="http://schemas.openxmlformats.org/officeDocument/2006/relationships/hyperlink" Target="../../../Documents/Trading/Charts/entx-20210311.jpg" TargetMode="External" Id="rId24" /><Relationship Type="http://schemas.openxmlformats.org/officeDocument/2006/relationships/hyperlink" Target="../../../Documents/Trading/Charts/entx-20210312.jpg" TargetMode="External" Id="rId25" /><Relationship Type="http://schemas.openxmlformats.org/officeDocument/2006/relationships/hyperlink" Target="../../../Documents/Trading/Charts/ebon-20210312.jpg" TargetMode="External" Id="rId26" /><Relationship Type="http://schemas.openxmlformats.org/officeDocument/2006/relationships/hyperlink" Target="../../../Documents/Trading/Charts/amc-20210315.jpg" TargetMode="External" Id="rId27" /><Relationship Type="http://schemas.openxmlformats.org/officeDocument/2006/relationships/hyperlink" Target="../../../Documents/Trading/Charts/ssy-20210316.jpg" TargetMode="External" Id="rId28" /><Relationship Type="http://schemas.openxmlformats.org/officeDocument/2006/relationships/hyperlink" Target="../../../Documents/Trading/Charts/svra-20210316.jpg" TargetMode="External" Id="rId29" /><Relationship Type="http://schemas.openxmlformats.org/officeDocument/2006/relationships/hyperlink" Target="../../../Documents/Trading/Charts/tkat-20210317.jpg" TargetMode="External" Id="rId30" /><Relationship Type="http://schemas.openxmlformats.org/officeDocument/2006/relationships/hyperlink" Target="../../../Documents/Trading/Charts/ocg-20210318.jpg" TargetMode="External" Id="rId31" /><Relationship Type="http://schemas.openxmlformats.org/officeDocument/2006/relationships/hyperlink" Target="../../../Documents/Trading/Charts/expr-20210318.jpg" TargetMode="External" Id="rId32" /><Relationship Type="http://schemas.openxmlformats.org/officeDocument/2006/relationships/hyperlink" Target="../../../Documents/Trading/Charts/jfin-20210318.jpg" TargetMode="External" Id="rId33" /><Relationship Type="http://schemas.openxmlformats.org/officeDocument/2006/relationships/hyperlink" Target="../../../Documents/Trading/Charts/clvs-20210319.jpg" TargetMode="External" Id="rId34" /><Relationship Type="http://schemas.openxmlformats.org/officeDocument/2006/relationships/hyperlink" Target="../../../Documents/Trading/Charts/jfin-20210322.jpg" TargetMode="External" Id="rId35" /><Relationship Type="http://schemas.openxmlformats.org/officeDocument/2006/relationships/hyperlink" Target="../../../Documents/Trading/Charts/amc-20210325.jpg" TargetMode="External" Id="rId36" /><Relationship Type="http://schemas.openxmlformats.org/officeDocument/2006/relationships/hyperlink" Target="../../../Documents/Trading/Charts/koss-20210325.jpg" TargetMode="External" Id="rId37" /><Relationship Type="http://schemas.openxmlformats.org/officeDocument/2006/relationships/hyperlink" Target="../../../Documents/Trading/Charts/cleu-20210326.jpg" TargetMode="External" Id="rId38" /><Relationship Type="http://schemas.openxmlformats.org/officeDocument/2006/relationships/hyperlink" Target="../../../Documents/Trading/Charts/wafu-20210326.jpg" TargetMode="External" Id="rId39" /><Relationship Type="http://schemas.openxmlformats.org/officeDocument/2006/relationships/hyperlink" Target="../../../Documents/Trading/Charts/pfmt-20210330.jpg" TargetMode="External" Id="rId40" /><Relationship Type="http://schemas.openxmlformats.org/officeDocument/2006/relationships/hyperlink" Target="../../../Documents/Trading/Charts/jfin-20210330.jpg" TargetMode="External" Id="rId41" /><Relationship Type="http://schemas.openxmlformats.org/officeDocument/2006/relationships/hyperlink" Target="../../../Documents/Trading/Charts/upc-20210401.jpg" TargetMode="External" Id="rId42" /><Relationship Type="http://schemas.openxmlformats.org/officeDocument/2006/relationships/hyperlink" Target="../../../Documents/Trading/Charts/upc-20210401.jpg" TargetMode="External" Id="rId43" /><Relationship Type="http://schemas.openxmlformats.org/officeDocument/2006/relationships/hyperlink" Target="../../../Documents/Trading/Charts/sj-20210406.jpg" TargetMode="External" Id="rId44" /><Relationship Type="http://schemas.openxmlformats.org/officeDocument/2006/relationships/hyperlink" Target="../../../Documents/Trading/Charts/rmo-20210406.jpg" TargetMode="External" Id="rId45" /><Relationship Type="http://schemas.openxmlformats.org/officeDocument/2006/relationships/table" Target="/xl/tables/table3.xm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W67"/>
  <sheetViews>
    <sheetView tabSelected="1" workbookViewId="0">
      <selection activeCell="G17" sqref="G17"/>
    </sheetView>
  </sheetViews>
  <sheetFormatPr baseColWidth="8" defaultColWidth="9" defaultRowHeight="14"/>
  <cols>
    <col width="4.28333333333333" customWidth="1" style="107" min="1" max="1"/>
    <col width="17.7083333333333" customWidth="1" style="55" min="2" max="2"/>
    <col width="10.425" customWidth="1" style="55" min="3" max="3"/>
    <col width="11" customWidth="1" style="107" min="4" max="4"/>
    <col width="10.425" customWidth="1" style="107" min="5" max="5"/>
    <col width="11.2833333333333" customWidth="1" style="107" min="6" max="6"/>
    <col width="10.425" customWidth="1" style="107" min="7" max="8"/>
    <col width="4.28333333333333" customWidth="1" style="107" min="9" max="9"/>
    <col width="8.858333333333331" customWidth="1" style="107" min="10" max="14"/>
    <col width="4.28333333333333" customWidth="1" style="107" min="15" max="15"/>
    <col width="15" customWidth="1" style="107" min="16" max="16"/>
    <col width="9.70833333333333" customWidth="1" style="51" min="17" max="23"/>
    <col width="9.141666666666669" customWidth="1" style="107" min="24" max="16384"/>
  </cols>
  <sheetData>
    <row r="2" ht="15" customHeight="1" s="107">
      <c r="B2" s="9" t="inlineStr">
        <is>
          <t>BREAKOUT STRATEGY NOTES</t>
        </is>
      </c>
      <c r="C2" s="52" t="n"/>
      <c r="D2" s="52" t="n"/>
      <c r="E2" s="52" t="n"/>
      <c r="F2" s="52" t="n"/>
      <c r="G2" s="52" t="n"/>
      <c r="H2" s="53" t="n"/>
      <c r="P2" s="116" t="inlineStr">
        <is>
          <t>MEAN G/L</t>
        </is>
      </c>
      <c r="Q2" s="145" t="inlineStr">
        <is>
          <t>&gt;= 4</t>
        </is>
      </c>
      <c r="R2" s="145" t="inlineStr">
        <is>
          <t>&gt;= 5</t>
        </is>
      </c>
      <c r="S2" s="145" t="inlineStr">
        <is>
          <t>&gt;= 6</t>
        </is>
      </c>
      <c r="T2" s="145" t="inlineStr">
        <is>
          <t>&gt;= 7</t>
        </is>
      </c>
      <c r="U2" s="145" t="inlineStr">
        <is>
          <t>&gt;= 8</t>
        </is>
      </c>
      <c r="V2" s="145" t="inlineStr">
        <is>
          <t>&gt;= 9</t>
        </is>
      </c>
      <c r="W2" s="146" t="inlineStr">
        <is>
          <t>&gt;= 10</t>
        </is>
      </c>
    </row>
    <row r="3" ht="15" customHeight="1" s="107">
      <c r="B3" s="54" t="n"/>
      <c r="C3" s="55" t="n"/>
      <c r="H3" s="108" t="n"/>
      <c r="P3" s="117" t="inlineStr">
        <is>
          <t>All-TIME</t>
        </is>
      </c>
      <c r="Q3" s="147">
        <f t="array" ref="Q3">TRIMMEAN(IF(Table1[MAX GAIN]&gt;=4,Table1[POINTS G/L]),10%)</f>
        <v/>
      </c>
      <c r="R3" s="148">
        <f t="array" ref="R3">TRIMMEAN(IF(Table1[MAX GAIN]&gt;=5,Table1[POINTS G/L]),10%)</f>
        <v/>
      </c>
      <c r="S3" s="148">
        <f t="array" ref="S3">TRIMMEAN(IF(Table1[MAX GAIN]&gt;=6,Table1[POINTS G/L]),10%)</f>
        <v/>
      </c>
      <c r="T3" s="148">
        <f t="array" ref="T3">TRIMMEAN(IF(Table1[MAX GAIN]&gt;=7,Table1[POINTS G/L]),10%)</f>
        <v/>
      </c>
      <c r="U3" s="148">
        <f t="array" ref="U3">TRIMMEAN(IF(Table1[MAX GAIN]&gt;=8,Table1[POINTS G/L]),10%)</f>
        <v/>
      </c>
      <c r="V3" s="148">
        <f t="array" ref="V3">TRIMMEAN(IF(Table1[MAX GAIN]&gt;=9,Table1[POINTS G/L]),10%)</f>
        <v/>
      </c>
      <c r="W3" s="149">
        <f t="array" ref="W3">TRIMMEAN(IF(Table1[MAX GAIN]&gt;=10,Table1[POINTS G/L]),10%)</f>
        <v/>
      </c>
    </row>
    <row r="4">
      <c r="B4" s="54" t="inlineStr">
        <is>
          <t>Trading Days</t>
        </is>
      </c>
      <c r="C4" s="55" t="n">
        <v>252</v>
      </c>
      <c r="D4" t="inlineStr">
        <is>
          <t>Annual trading calendar days</t>
        </is>
      </c>
      <c r="H4" s="108" t="n"/>
      <c r="P4" s="118" t="inlineStr">
        <is>
          <t>Last 10 Wk</t>
        </is>
      </c>
      <c r="Q4" s="150">
        <f t="array" ref="Q4">IFERROR(TRIMMEAN(IF(Table1[MAX GAIN]&gt;=4,IF((Table1[WEEK]&gt;=MAX(Table1[WEEK])-9),Table1[POINTS G/L])),10%),0)</f>
        <v/>
      </c>
      <c r="R4" s="151">
        <f t="array" ref="R4">IFERROR(TRIMMEAN(IF(Table1[MAX GAIN]&gt;=5,IF((Table1[WEEK]&gt;=MAX(Table1[WEEK])-9),Table1[POINTS G/L])),10%),0)</f>
        <v/>
      </c>
      <c r="S4" s="152">
        <f t="array" ref="S4">IFERROR(TRIMMEAN(IF(Table1[MAX GAIN]&gt;=6,IF((Table1[WEEK]&gt;=MAX(Table1[WEEK])-9),Table1[POINTS G/L])),10%),0)</f>
        <v/>
      </c>
      <c r="T4" s="152">
        <f t="array" ref="T4">IFERROR(TRIMMEAN(IF(Table1[MAX GAIN]&gt;=7,IF((Table1[WEEK]&gt;=MAX(Table1[WEEK])-9),Table1[POINTS G/L])),10%),0)</f>
        <v/>
      </c>
      <c r="U4" s="152">
        <f t="array" ref="U4">IFERROR(TRIMMEAN(IF(Table1[MAX GAIN]&gt;=8,IF((Table1[WEEK]&gt;=MAX(Table1[WEEK])-9),Table1[POINTS G/L])),10%),0)</f>
        <v/>
      </c>
      <c r="V4" s="152">
        <f t="array" ref="V4">IFERROR(TRIMMEAN(IF(Table1[MAX GAIN]&gt;=9,IF((Table1[WEEK]&gt;=MAX(Table1[WEEK])-9),Table1[POINTS G/L])),10%),0)</f>
        <v/>
      </c>
      <c r="W4" s="153">
        <f t="array" ref="W4">IFERROR(TRIMMEAN(IF(Table1[MAX GAIN]&gt;=10,IF((Table1[WEEK]&gt;=MAX(Table1[WEEK])-9),Table1[POINTS G/L])),10%),0)</f>
        <v/>
      </c>
    </row>
    <row r="5" ht="15" customHeight="1" s="107">
      <c r="B5" s="54" t="inlineStr">
        <is>
          <t>Days off</t>
        </is>
      </c>
      <c r="C5" s="55" t="n">
        <v>39</v>
      </c>
      <c r="D5" t="inlineStr">
        <is>
          <t>This includes time off and days no trades available</t>
        </is>
      </c>
      <c r="H5" s="108" t="n"/>
      <c r="P5" s="119" t="inlineStr">
        <is>
          <t>Last 5 Wk</t>
        </is>
      </c>
      <c r="Q5" s="154">
        <f t="array" ref="Q5">IFERROR(TRIMMEAN(IF(Table1[MAX GAIN]&gt;=4,IF((Table1[WEEK]&gt;=MAX(Table1[WEEK])-4),Table1[POINTS G/L])),10%),0)</f>
        <v/>
      </c>
      <c r="R5" s="155">
        <f t="array" ref="R5">IFERROR(TRIMMEAN(IF(Table1[MAX GAIN]&gt;=5,IF((Table1[WEEK]&gt;=MAX(Table1[WEEK])-4),Table1[POINTS G/L])),10%),0)</f>
        <v/>
      </c>
      <c r="S5" s="155">
        <f t="array" ref="S5">IFERROR(TRIMMEAN(IF(Table1[MAX GAIN]&gt;=6,IF((Table1[WEEK]&gt;=MAX(Table1[WEEK])-4),Table1[POINTS G/L])),10%),0)</f>
        <v/>
      </c>
      <c r="T5" s="155">
        <f t="array" ref="T5">IFERROR(TRIMMEAN(IF(Table1[MAX GAIN]&gt;=7,IF((Table1[WEEK]&gt;=MAX(Table1[WEEK])-4),Table1[POINTS G/L])),10%),0)</f>
        <v/>
      </c>
      <c r="U5" s="155">
        <f t="array" ref="U5">IFERROR(TRIMMEAN(IF(Table1[MAX GAIN]&gt;=8,IF((Table1[WEEK]&gt;=MAX(Table1[WEEK])-4),Table1[POINTS G/L])),10%),0)</f>
        <v/>
      </c>
      <c r="V5" s="155">
        <f t="array" ref="V5">IFERROR(TRIMMEAN(IF(Table1[MAX GAIN]&gt;=9,IF((Table1[WEEK]&gt;=MAX(Table1[WEEK])-4),Table1[POINTS G/L])),10%),0)</f>
        <v/>
      </c>
      <c r="W5" s="156">
        <f t="array" ref="W5">IFERROR(TRIMMEAN(IF(Table1[MAX GAIN]&gt;=10,IF((Table1[WEEK]&gt;=MAX(Table1[WEEK])-4),Table1[POINTS G/L])),10%),0)</f>
        <v/>
      </c>
    </row>
    <row r="6" ht="15" customHeight="1" s="107">
      <c r="B6" s="54" t="inlineStr">
        <is>
          <t>Traded %</t>
        </is>
      </c>
      <c r="C6" s="58">
        <f>(C4-C5)/C4</f>
        <v/>
      </c>
      <c r="D6" t="inlineStr">
        <is>
          <t>Used in Annualized Gain calculations</t>
        </is>
      </c>
      <c r="H6" s="108" t="n"/>
    </row>
    <row r="7" ht="15" customHeight="1" s="107">
      <c r="B7" s="59" t="n"/>
      <c r="C7" s="58" t="n"/>
      <c r="H7" s="108" t="n"/>
      <c r="P7" s="116" t="inlineStr">
        <is>
          <t>AVE G/L</t>
        </is>
      </c>
      <c r="Q7" s="145" t="inlineStr">
        <is>
          <t>&lt; 20%</t>
        </is>
      </c>
      <c r="R7" s="145" t="inlineStr">
        <is>
          <t>20-50%</t>
        </is>
      </c>
      <c r="S7" s="145" t="inlineStr">
        <is>
          <t>50-75%</t>
        </is>
      </c>
      <c r="T7" s="145" t="inlineStr">
        <is>
          <t>75-100%</t>
        </is>
      </c>
      <c r="U7" s="157" t="inlineStr">
        <is>
          <t>100-150%</t>
        </is>
      </c>
      <c r="V7" s="157" t="inlineStr">
        <is>
          <t>150-200%</t>
        </is>
      </c>
      <c r="W7" s="158" t="inlineStr">
        <is>
          <t>200% &lt;</t>
        </is>
      </c>
    </row>
    <row r="8" ht="15" customHeight="1" s="107">
      <c r="B8" s="60" t="n"/>
      <c r="C8" s="55" t="n"/>
      <c r="H8" s="108" t="n"/>
      <c r="P8" s="117" t="inlineStr">
        <is>
          <t>PMH</t>
        </is>
      </c>
      <c r="Q8" s="159">
        <f>IFERROR(AVERAGEIFS(Table1[POINTS G/L],Table1[PM MAX GAP],"&lt;20%",Table1[SETUP],$P8),0)</f>
        <v/>
      </c>
      <c r="R8" s="159">
        <f>IFERROR(AVERAGEIFS(Table1[POINTS G/L],Table1[PM MAX GAP],"&gt;=20%",Table1[PM MAX GAP],"&lt;50%",Table1[SETUP],$P8),0)</f>
        <v/>
      </c>
      <c r="S8" s="159">
        <f>IFERROR(AVERAGEIFS(Table1[POINTS G/L],Table1[PM MAX GAP],"&gt;=50%",Table1[PM MAX GAP],"&lt;75%",Table1[SETUP],$P8),0)</f>
        <v/>
      </c>
      <c r="T8" s="159">
        <f>IFERROR(AVERAGEIFS(Table1[POINTS G/L],Table1[PM MAX GAP],"&gt;=75%",Table1[PM MAX GAP],"&lt;100%",Table1[SETUP],$P8),0)</f>
        <v/>
      </c>
      <c r="U8" s="159">
        <f>IFERROR(AVERAGEIFS(Table1[POINTS G/L],Table1[PM MAX GAP],"&gt;=100%",Table1[PM MAX GAP],"&lt;150%",Table1[SETUP],$P8),0)</f>
        <v/>
      </c>
      <c r="V8" s="159">
        <f>IFERROR(AVERAGEIFS(Table1[POINTS G/L],Table1[PM MAX GAP],"&gt;=150%",Table1[PM MAX GAP],"&lt;200%",Table1[SETUP],$P8),0)</f>
        <v/>
      </c>
      <c r="W8" s="160">
        <f>IFERROR(AVERAGEIFS(Table1[POINTS G/L],Table1[PM MAX GAP],"&gt;=200%",Table1[SETUP],$P8),0)</f>
        <v/>
      </c>
    </row>
    <row r="9">
      <c r="B9" s="59" t="n"/>
      <c r="C9" s="55" t="n"/>
      <c r="H9" s="108" t="n"/>
      <c r="P9" s="117" t="inlineStr">
        <is>
          <t>Pivot</t>
        </is>
      </c>
      <c r="Q9" s="152">
        <f>IFERROR(AVERAGEIFS(Table1[POINTS G/L],Table1[PM MAX GAP],"&lt;20%",Table1[SETUP],$P9),0)</f>
        <v/>
      </c>
      <c r="R9" s="159">
        <f>IFERROR(AVERAGEIFS(Table1[POINTS G/L],Table1[PM MAX GAP],"&gt;=20%",Table1[PM MAX GAP],"&lt;50%",Table1[SETUP],$P9),0)</f>
        <v/>
      </c>
      <c r="S9" s="159">
        <f>IFERROR(AVERAGEIFS(Table1[POINTS G/L],Table1[PM MAX GAP],"&gt;=50%",Table1[PM MAX GAP],"&lt;75%",Table1[SETUP],$P9),0)</f>
        <v/>
      </c>
      <c r="T9" s="159">
        <f>IFERROR(AVERAGEIFS(Table1[POINTS G/L],Table1[PM MAX GAP],"&gt;=75%",Table1[PM MAX GAP],"&lt;100%",Table1[SETUP],$P9),0)</f>
        <v/>
      </c>
      <c r="U9" s="159">
        <f>IFERROR(AVERAGEIFS(Table1[POINTS G/L],Table1[PM MAX GAP],"&gt;=100%",Table1[PM MAX GAP],"&lt;150%",Table1[SETUP],$P9),0)</f>
        <v/>
      </c>
      <c r="V9" s="159">
        <f>IFERROR(AVERAGEIFS(Table1[POINTS G/L],Table1[PM MAX GAP],"&gt;=150%",Table1[PM MAX GAP],"&lt;200%",Table1[SETUP],$P9),0)</f>
        <v/>
      </c>
      <c r="W9" s="160">
        <f>IFERROR(AVERAGEIFS(Table1[POINTS G/L],Table1[PM MAX GAP],"&gt;=200%",Table1[SETUP],$P9),0)</f>
        <v/>
      </c>
    </row>
    <row r="10">
      <c r="B10" s="59" t="n"/>
      <c r="C10" s="55" t="n"/>
      <c r="H10" s="108" t="n"/>
      <c r="P10" s="117" t="inlineStr">
        <is>
          <t>HOD</t>
        </is>
      </c>
      <c r="Q10" s="152">
        <f>IFERROR(AVERAGEIFS(Table1[POINTS G/L],Table1[PM MAX GAP],"&lt;20%",Table1[SETUP],$P10),0)</f>
        <v/>
      </c>
      <c r="R10" s="159">
        <f>IFERROR(AVERAGEIFS(Table1[POINTS G/L],Table1[PM MAX GAP],"&gt;=20%",Table1[PM MAX GAP],"&lt;50%",Table1[SETUP],$P10),0)</f>
        <v/>
      </c>
      <c r="S10" s="159">
        <f>IFERROR(AVERAGEIFS(Table1[POINTS G/L],Table1[PM MAX GAP],"&gt;=50%",Table1[PM MAX GAP],"&lt;75%",Table1[SETUP],$P10),0)</f>
        <v/>
      </c>
      <c r="T10" s="159">
        <f>IFERROR(AVERAGEIFS(Table1[POINTS G/L],Table1[PM MAX GAP],"&gt;=75%",Table1[PM MAX GAP],"&lt;100%",Table1[SETUP],$P10),0)</f>
        <v/>
      </c>
      <c r="U10" s="159">
        <f>IFERROR(AVERAGEIFS(Table1[POINTS G/L],Table1[PM MAX GAP],"&gt;=100%",Table1[PM MAX GAP],"&lt;150%",Table1[SETUP],$P10),0)</f>
        <v/>
      </c>
      <c r="V10" s="159">
        <f>IFERROR(AVERAGEIFS(Table1[POINTS G/L],Table1[PM MAX GAP],"&gt;=150%",Table1[PM MAX GAP],"&lt;200%",Table1[SETUP],$P10),0)</f>
        <v/>
      </c>
      <c r="W10" s="160">
        <f>IFERROR(AVERAGEIFS(Table1[POINTS G/L],Table1[PM MAX GAP],"&gt;=200%",Table1[SETUP],$P10),0)</f>
        <v/>
      </c>
    </row>
    <row r="11">
      <c r="B11" s="59" t="n"/>
      <c r="C11" s="55" t="n"/>
      <c r="H11" s="108" t="n"/>
      <c r="P11" s="117" t="inlineStr">
        <is>
          <t>R2G</t>
        </is>
      </c>
      <c r="Q11" s="161">
        <f>IFERROR(AVERAGEIFS(Table1[POINTS G/L],Table1[PM MAX GAP],"&lt;20%",Table1[SETUP],$P11),0)</f>
        <v/>
      </c>
      <c r="R11" s="159">
        <f>IFERROR(AVERAGEIFS(Table1[POINTS G/L],Table1[PM MAX GAP],"&gt;=20%",Table1[PM MAX GAP],"&lt;50%",Table1[SETUP],$P11),0)</f>
        <v/>
      </c>
      <c r="S11" s="159">
        <f>IFERROR(AVERAGEIFS(Table1[POINTS G/L],Table1[PM MAX GAP],"&gt;=50%",Table1[PM MAX GAP],"&lt;75%",Table1[SETUP],$P11),0)</f>
        <v/>
      </c>
      <c r="T11" s="159">
        <f>IFERROR(AVERAGEIFS(Table1[POINTS G/L],Table1[PM MAX GAP],"&gt;=75%",Table1[PM MAX GAP],"&lt;100%",Table1[SETUP],$P11),0)</f>
        <v/>
      </c>
      <c r="U11" s="159">
        <f>IFERROR(AVERAGEIFS(Table1[POINTS G/L],Table1[PM MAX GAP],"&gt;=100%",Table1[PM MAX GAP],"&lt;150%",Table1[SETUP],$P11),0)</f>
        <v/>
      </c>
      <c r="V11" s="159">
        <f>IFERROR(AVERAGEIFS(Table1[POINTS G/L],Table1[PM MAX GAP],"&gt;=150%",Table1[PM MAX GAP],"&lt;200%",Table1[SETUP],$P11),0)</f>
        <v/>
      </c>
      <c r="W11" s="160">
        <f>IFERROR(AVERAGEIFS(Table1[POINTS G/L],Table1[PM MAX GAP],"&gt;=200%",Table1[SETUP],$P11),0)</f>
        <v/>
      </c>
    </row>
    <row r="12">
      <c r="B12" s="59" t="n"/>
      <c r="C12" s="55" t="n"/>
      <c r="E12" s="55" t="n"/>
      <c r="H12" s="108" t="n"/>
      <c r="J12" s="120" t="inlineStr">
        <is>
          <t>WEEKLY</t>
        </is>
      </c>
      <c r="K12" s="121">
        <f>TRIMMEAN(Table2[TRADES],20%)</f>
        <v/>
      </c>
      <c r="L12" s="122">
        <f>TRIMMEAN(Table2[WIN %],20%)</f>
        <v/>
      </c>
      <c r="M12" s="121">
        <f>TRIMMEAN(Table2[POINTS],20%)</f>
        <v/>
      </c>
      <c r="N12" s="123">
        <f>TRIMMEAN(Table2[ENTRY %],20%)</f>
        <v/>
      </c>
      <c r="O12" s="124" t="n"/>
      <c r="P12" s="119" t="inlineStr">
        <is>
          <t>Daily</t>
        </is>
      </c>
      <c r="Q12" s="162">
        <f>IFERROR(AVERAGEIFS(Table1[POINTS G/L],Table1[PM MAX GAP],"&lt;20%",Table1[SETUP],$P12),0)</f>
        <v/>
      </c>
      <c r="R12" s="163">
        <f>IFERROR(AVERAGEIFS(Table1[POINTS G/L],Table1[PM MAX GAP],"&gt;=20%",Table1[PM MAX GAP],"&lt;50%",Table1[SETUP],$P12),0)</f>
        <v/>
      </c>
      <c r="S12" s="163">
        <f>IFERROR(AVERAGEIFS(Table1[POINTS G/L],Table1[PM MAX GAP],"&gt;=50%",Table1[PM MAX GAP],"&lt;75%",Table1[SETUP],$P12),0)</f>
        <v/>
      </c>
      <c r="T12" s="163">
        <f>IFERROR(AVERAGEIFS(Table1[POINTS G/L],Table1[PM MAX GAP],"&gt;=75%",Table1[PM MAX GAP],"&lt;100%",Table1[SETUP],$P12),0)</f>
        <v/>
      </c>
      <c r="U12" s="163">
        <f>IFERROR(AVERAGEIFS(Table1[POINTS G/L],Table1[PM MAX GAP],"&gt;=100%",Table1[PM MAX GAP],"&lt;150%",Table1[SETUP],$P12),0)</f>
        <v/>
      </c>
      <c r="V12" s="163">
        <f>IFERROR(AVERAGEIFS(Table1[POINTS G/L],Table1[PM MAX GAP],"&gt;=150%",Table1[PM MAX GAP],"&lt;200%",Table1[SETUP],$P12),0)</f>
        <v/>
      </c>
      <c r="W12" s="164">
        <f>IFERROR(AVERAGEIFS(Table1[POINTS G/L],Table1[PM MAX GAP],"&gt;=200%",Table1[SETUP],$P12),0)</f>
        <v/>
      </c>
    </row>
    <row r="13">
      <c r="B13" s="61" t="n"/>
      <c r="C13" s="87" t="n"/>
      <c r="D13" s="88" t="n"/>
      <c r="E13" s="87" t="n"/>
      <c r="F13" s="88" t="n"/>
      <c r="G13" s="88" t="n"/>
      <c r="H13" s="89" t="n"/>
      <c r="J13" s="125" t="inlineStr">
        <is>
          <t>WEEK</t>
        </is>
      </c>
      <c r="K13" s="126" t="inlineStr">
        <is>
          <t>TRADES</t>
        </is>
      </c>
      <c r="L13" s="126" t="inlineStr">
        <is>
          <t>WIN %</t>
        </is>
      </c>
      <c r="M13" s="126" t="inlineStr">
        <is>
          <t>POINTS</t>
        </is>
      </c>
      <c r="N13" s="127" t="inlineStr">
        <is>
          <t>ENTRY %</t>
        </is>
      </c>
      <c r="O13" s="124" t="n"/>
    </row>
    <row r="14">
      <c r="J14" s="128">
        <f>IF(ROW()&gt;=15,$J13-1,MAX(Table1[WEEK]))</f>
        <v/>
      </c>
      <c r="K14" s="129">
        <f>COUNTIF(Table1[WEEK],$J14)</f>
        <v/>
      </c>
      <c r="L14" s="130">
        <f>COUNTIFS(Table1[POINTS G/L],"&gt;0",Table1[WEEK],J14)/COUNTIFS(Table1[WEEK],J14)</f>
        <v/>
      </c>
      <c r="M14" s="131">
        <f>SUMIFS(Table1[POINTS G/L],Table1[WEEK],$J14)</f>
        <v/>
      </c>
      <c r="N14" s="132">
        <f>IFERROR(COUNTIFS(Table1[ENTRY ATTEMPT],"=1",Table1[WEEK],$J14)/COUNTIFS(Table1[ENTRY ATTEMPT],"&lt;&gt;",Table1[WEEK],$J14),0)</f>
        <v/>
      </c>
      <c r="O14" s="124" t="n"/>
      <c r="P14" s="133" t="inlineStr">
        <is>
          <t>TRADES</t>
        </is>
      </c>
      <c r="Q14" s="165" t="inlineStr">
        <is>
          <t>1-3M</t>
        </is>
      </c>
      <c r="R14" s="165" t="inlineStr">
        <is>
          <t>3-5M</t>
        </is>
      </c>
      <c r="S14" s="165" t="inlineStr">
        <is>
          <t>5-10M</t>
        </is>
      </c>
      <c r="T14" s="165" t="inlineStr">
        <is>
          <t>10-20M</t>
        </is>
      </c>
      <c r="U14" s="165" t="inlineStr">
        <is>
          <t>20-50M</t>
        </is>
      </c>
      <c r="V14" s="165" t="inlineStr">
        <is>
          <t>50-100M</t>
        </is>
      </c>
      <c r="W14" s="166" t="inlineStr">
        <is>
          <t>100M &lt;</t>
        </is>
      </c>
    </row>
    <row r="15">
      <c r="B15" s="65" t="inlineStr">
        <is>
          <t>ANNUALIZED GAIN CALCULATOR</t>
        </is>
      </c>
      <c r="C15" s="66" t="n"/>
      <c r="D15" s="66" t="n"/>
      <c r="E15" s="66" t="n"/>
      <c r="F15" s="66" t="n"/>
      <c r="G15" s="66" t="n"/>
      <c r="H15" s="67" t="n"/>
      <c r="J15" s="128">
        <f>IF(ROW()&gt;=15,$J14-1,MAX(Table1[WEEK]))</f>
        <v/>
      </c>
      <c r="K15" s="129">
        <f>COUNTIF(Table1[WEEK],$J15)</f>
        <v/>
      </c>
      <c r="L15" s="130">
        <f>COUNTIFS(Table1[POINTS G/L],"&gt;0",Table1[WEEK],J15)/COUNTIFS(Table1[WEEK],J15)</f>
        <v/>
      </c>
      <c r="M15" s="131">
        <f>SUMIFS(Table1[POINTS G/L],Table1[WEEK],$J15)</f>
        <v/>
      </c>
      <c r="N15" s="132">
        <f>IFERROR(COUNTIFS(Table1[ENTRY ATTEMPT],"=1",Table1[WEEK],$J15)/COUNTIFS(Table1[ENTRY ATTEMPT],"&lt;&gt;",Table1[WEEK],$J15),0)</f>
        <v/>
      </c>
      <c r="P15" s="134" t="inlineStr">
        <is>
          <t>&lt; 100M</t>
        </is>
      </c>
      <c r="Q15" s="167">
        <f>IFERROR(COUNTIFS(Table1[MARKET CAP],"&lt;100000000",Table1[FLOAT],"&gt;1000000",Table1[FLOAT],"&lt;=3000000"),0)</f>
        <v/>
      </c>
      <c r="R15" s="167">
        <f>IFERROR(COUNTIFS(Table1[MARKET CAP],"&lt;100000000",Table1[FLOAT],"&gt;3000000",Table1[FLOAT],"&lt;=5000000"),0)</f>
        <v/>
      </c>
      <c r="S15" s="167">
        <f>IFERROR(COUNTIFS(Table1[MARKET CAP],"&lt;100000000",Table1[FLOAT],"&gt;5000000",Table1[FLOAT],"&lt;=10000000"),0)</f>
        <v/>
      </c>
      <c r="T15" s="167">
        <f>IFERROR(COUNTIFS(Table1[MARKET CAP],"&lt;100000000",Table1[FLOAT],"&gt;=10000000",Table1[FLOAT],"&lt;20000000"),0)</f>
        <v/>
      </c>
      <c r="U15" s="167">
        <f>IFERROR(COUNTIFS(Table1[MARKET CAP],"&lt;100000000",Table1[FLOAT],"&gt;20000000",Table1[FLOAT],"&lt;=50000000"),0)</f>
        <v/>
      </c>
      <c r="V15" s="167">
        <f>IFERROR(COUNTIFS(Table1[MARKET CAP],"&lt;100000000",Table1[FLOAT],"&gt;50000000",Table1[FLOAT],"&lt;=100000000"),0)</f>
        <v/>
      </c>
      <c r="W15" s="168">
        <f>IFERROR(COUNTIFS(Table1[MARKET CAP],"&lt;100000000",Table1[FLOAT],"&gt;100000000"),0)</f>
        <v/>
      </c>
    </row>
    <row r="16">
      <c r="B16" s="68" t="n"/>
      <c r="C16" s="69" t="n"/>
      <c r="D16" s="69" t="n"/>
      <c r="E16" s="70" t="inlineStr">
        <is>
          <t>Price</t>
        </is>
      </c>
      <c r="F16" s="71" t="inlineStr">
        <is>
          <t>Shares</t>
        </is>
      </c>
      <c r="G16" s="72" t="n"/>
      <c r="H16" s="73" t="inlineStr">
        <is>
          <t>ATI</t>
        </is>
      </c>
      <c r="J16" s="128">
        <f>IF(ROW()&gt;=15,$J15-1,MAX(Table1[WEEK]))</f>
        <v/>
      </c>
      <c r="K16" s="129">
        <f>COUNTIF(Table1[WEEK],$J16)</f>
        <v/>
      </c>
      <c r="L16" s="130">
        <f>COUNTIFS(Table1[POINTS G/L],"&gt;0",Table1[WEEK],J16)/COUNTIFS(Table1[WEEK],J16)</f>
        <v/>
      </c>
      <c r="M16" s="131">
        <f>SUMIFS(Table1[POINTS G/L],Table1[WEEK],$J16)</f>
        <v/>
      </c>
      <c r="N16" s="132">
        <f>IFERROR(COUNTIFS(Table1[ENTRY ATTEMPT],"=1",Table1[WEEK],$J16)/COUNTIFS(Table1[ENTRY ATTEMPT],"&lt;&gt;",Table1[WEEK],$J16),0)</f>
        <v/>
      </c>
      <c r="P16" s="134" t="inlineStr">
        <is>
          <t>100-500M</t>
        </is>
      </c>
      <c r="Q16" s="167">
        <f>IFERROR(COUNTIFS(Table1[MARKET CAP],"&gt;100000000",Table1[MARKET CAP],"&lt;=500000000",Table1[FLOAT],"&gt;1000000",Table1[FLOAT],"&lt;=3000000"),0)</f>
        <v/>
      </c>
      <c r="R16" s="167">
        <f>IFERROR(COUNTIFS(Table1[MARKET CAP],"&gt;100000000",Table1[MARKET CAP],"&lt;=500000000",Table1[FLOAT],"&gt;3000000",Table1[FLOAT],"&lt;=5000000"),0)</f>
        <v/>
      </c>
      <c r="S16" s="167">
        <f>IFERROR(COUNTIFS(Table1[MARKET CAP],"&gt;100000000",Table1[MARKET CAP],"&lt;=500000000",Table1[FLOAT],"&gt;5000000",Table1[FLOAT],"&lt;=10000000"),0)</f>
        <v/>
      </c>
      <c r="T16" s="167">
        <f>IFERROR(COUNTIFS(Table1[MARKET CAP],"&gt;100000000",Table1[MARKET CAP],"&lt;=500000000",Table1[FLOAT],"&gt;10000000",Table1[FLOAT],"&lt;=20000000"),0)</f>
        <v/>
      </c>
      <c r="U16" s="167">
        <f>IFERROR(COUNTIFS(Table1[MARKET CAP],"&gt;100000000",Table1[MARKET CAP],"&lt;=500000000",Table1[FLOAT],"&gt;20000000",Table1[FLOAT],"&lt;=50000000"),0)</f>
        <v/>
      </c>
      <c r="V16" s="167">
        <f>IFERROR(COUNTIFS(Table1[MARKET CAP],"&gt;100000000",Table1[MARKET CAP],"&lt;=500000000",Table1[FLOAT],"&gt;50000000",Table1[FLOAT],"&lt;=100000000"),0)</f>
        <v/>
      </c>
      <c r="W16" s="168">
        <f>IFERROR(COUNTIFS(Table1[MARKET CAP],"&gt;100000000",Table1[MARKET CAP],"&lt;=500000000",Table1[FLOAT],"&gt;100000000"),0)</f>
        <v/>
      </c>
    </row>
    <row r="17">
      <c r="B17" s="68" t="inlineStr">
        <is>
          <t>Position size for price &lt;</t>
        </is>
      </c>
      <c r="C17" s="69" t="n"/>
      <c r="D17" s="74" t="n"/>
      <c r="E17" s="75" t="n">
        <v>8</v>
      </c>
      <c r="F17" s="76" t="n">
        <v>200</v>
      </c>
      <c r="G17" s="77" t="inlineStr">
        <is>
          <t>((SUMIFS(Table1[POINTS G/L],Table1[ENTRY],"&lt;"&amp;E17,Table1[POINTS G/L],"&gt;0")*F17)/C26)*(C4*C6)</t>
        </is>
      </c>
      <c r="H17" s="78" t="n"/>
      <c r="J17" s="128">
        <f>IF(ROW()&gt;=15,$J16-1,MAX(Table1[WEEK]))</f>
        <v/>
      </c>
      <c r="K17" s="129">
        <f>COUNTIF(Table1[WEEK],$J17)</f>
        <v/>
      </c>
      <c r="L17" s="130">
        <f>COUNTIFS(Table1[POINTS G/L],"&gt;0",Table1[WEEK],J17)/COUNTIFS(Table1[WEEK],J17)</f>
        <v/>
      </c>
      <c r="M17" s="131">
        <f>SUMIFS(Table1[POINTS G/L],Table1[WEEK],$J17)</f>
        <v/>
      </c>
      <c r="N17" s="132">
        <f>IFERROR(COUNTIFS(Table1[ENTRY ATTEMPT],"=1",Table1[WEEK],$J17)/COUNTIFS(Table1[ENTRY ATTEMPT],"&lt;&gt;",Table1[WEEK],$J17),0)</f>
        <v/>
      </c>
      <c r="P17" s="134" t="inlineStr">
        <is>
          <t>500M-1B</t>
        </is>
      </c>
      <c r="Q17" s="167">
        <f>IFERROR(COUNTIFS(Table1[MARKET CAP],"&gt;500000000",Table1[MARKET CAP],"&lt;=1000000000",Table1[FLOAT],"&gt;1000000",Table1[FLOAT],"&lt;=3000000"),0)</f>
        <v/>
      </c>
      <c r="R17" s="167">
        <f>IFERROR(COUNTIFS(Table1[MARKET CAP],"&gt;500000000",Table1[MARKET CAP],"&lt;=1000000000",Table1[FLOAT],"&gt;3000000",Table1[FLOAT],"&lt;=5000000"),0)</f>
        <v/>
      </c>
      <c r="S17" s="167">
        <f>IFERROR(COUNTIFS(Table1[MARKET CAP],"&gt;500000000",Table1[MARKET CAP],"&lt;=1000000000",Table1[FLOAT],"&gt;5000000",Table1[FLOAT],"&lt;=10000000"),0)</f>
        <v/>
      </c>
      <c r="T17" s="167">
        <f>IFERROR(COUNTIFS(Table1[MARKET CAP],"&gt;500000000",Table1[MARKET CAP],"&lt;=1000000000",Table1[FLOAT],"&gt;10000000",Table1[FLOAT],"&lt;=20000000"),0)</f>
        <v/>
      </c>
      <c r="U17" s="167">
        <f>IFERROR(COUNTIFS(Table1[MARKET CAP],"&gt;500000000",Table1[MARKET CAP],"&lt;=1000000000",Table1[FLOAT],"&gt;20000000",Table1[FLOAT],"&lt;=50000000"),0)</f>
        <v/>
      </c>
      <c r="V17" s="167">
        <f>IFERROR(COUNTIFS(Table1[MARKET CAP],"&gt;500000000",Table1[MARKET CAP],"&lt;=1000000000",Table1[FLOAT],"&gt;50000000",Table1[FLOAT],"&lt;=100000000"),0)</f>
        <v/>
      </c>
      <c r="W17" s="168">
        <f>IFERROR(COUNTIFS(Table1[MARKET CAP],"&gt;500000000",Table1[MARKET CAP],"&lt;=1000000000",Table1[FLOAT],"&gt;100000000"),0)</f>
        <v/>
      </c>
    </row>
    <row r="18">
      <c r="B18" s="68" t="inlineStr">
        <is>
          <t>Position size for price &lt; &gt;</t>
        </is>
      </c>
      <c r="C18" s="69" t="n"/>
      <c r="D18" s="74" t="n"/>
      <c r="E18" s="75" t="n"/>
      <c r="F18" s="76" t="n">
        <v>1000</v>
      </c>
      <c r="G18" s="77">
        <f>((SUMIFS(Table1[POINTS G/L],Table1[ENTRY],"&gt;="&amp;E17,Table1[ENTRY],"&lt;"&amp;E19)*F18)/C26)*(C4*C6)</f>
        <v/>
      </c>
      <c r="H18" s="78" t="n"/>
      <c r="J18" s="128">
        <f>IF(ROW()&gt;=15,$J17-1,MAX(Table1[WEEK]))</f>
        <v/>
      </c>
      <c r="K18" s="129">
        <f>COUNTIF(Table1[WEEK],$J18)</f>
        <v/>
      </c>
      <c r="L18" s="130">
        <f>COUNTIFS(Table1[POINTS G/L],"&gt;0",Table1[WEEK],J18)/COUNTIFS(Table1[WEEK],J18)</f>
        <v/>
      </c>
      <c r="M18" s="131">
        <f>SUMIFS(Table1[POINTS G/L],Table1[WEEK],$J18)</f>
        <v/>
      </c>
      <c r="N18" s="132">
        <f>IFERROR(COUNTIFS(Table1[ENTRY ATTEMPT],"=1",Table1[WEEK],$J18)/COUNTIFS(Table1[ENTRY ATTEMPT],"&lt;&gt;",Table1[WEEK],$J18),0)</f>
        <v/>
      </c>
      <c r="P18" s="135" t="inlineStr">
        <is>
          <t>1B &lt;</t>
        </is>
      </c>
      <c r="Q18" s="169">
        <f>IFERROR(COUNTIFS(Table1[MARKET CAP],"&gt;1000000000",Table1[FLOAT],"&gt;10000000",Table1[FLOAT],"&lt;=30000000"),0)</f>
        <v/>
      </c>
      <c r="R18" s="169">
        <f>IFERROR(COUNTIFS(Table1[MARKET CAP],"&gt;1000000000",Table1[FLOAT],"&gt;3000000",Table1[FLOAT],"&lt;=5000000"),0)</f>
        <v/>
      </c>
      <c r="S18" s="169">
        <f>IFERROR(COUNTIFS(Table1[MARKET CAP],"&gt;1000000000",Table1[FLOAT],"&gt;5000000",Table1[FLOAT],"&lt;=10000000"),0)</f>
        <v/>
      </c>
      <c r="T18" s="169">
        <f>IFERROR(COUNTIFS(Table1[MARKET CAP],"&gt;1000000000",Table1[FLOAT],"&gt;10000000",Table1[FLOAT],"&lt;=20000000"),0)</f>
        <v/>
      </c>
      <c r="U18" s="169">
        <f>IFERROR(COUNTIFS(Table1[MARKET CAP],"&gt;1000000000",Table1[FLOAT],"&gt;20000000",Table1[FLOAT],"&lt;=50000000"),0)</f>
        <v/>
      </c>
      <c r="V18" s="169">
        <f>IFERROR(COUNTIFS(Table1[MARKET CAP],"&gt;1000000000",Table1[FLOAT],"&gt;50000000",Table1[FLOAT],"&lt;=100000000"),0)</f>
        <v/>
      </c>
      <c r="W18" s="170">
        <f>IFERROR(COUNTIFS(Table1[MARKET CAP],"&gt;1000000000",Table1[FLOAT],"&gt;100000000"),0)</f>
        <v/>
      </c>
    </row>
    <row r="19">
      <c r="B19" s="68" t="inlineStr">
        <is>
          <t>Position size for price &gt;</t>
        </is>
      </c>
      <c r="C19" s="79" t="n"/>
      <c r="D19" s="74" t="n"/>
      <c r="E19" s="75" t="n">
        <v>20</v>
      </c>
      <c r="F19" s="76" t="n">
        <v>500</v>
      </c>
      <c r="G19" s="77">
        <f>((SUMIFS(Table1[POINTS G/L],Table1[ENTRY],"&gt;="&amp;E19)*F19)/C26)*(C4*C6)</f>
        <v/>
      </c>
      <c r="H19" s="78" t="n"/>
      <c r="J19" s="128">
        <f>IF(ROW()&gt;=15,$J18-1,MAX(Table1[WEEK]))</f>
        <v/>
      </c>
      <c r="K19" s="129">
        <f>COUNTIF(Table1[WEEK],$J19)</f>
        <v/>
      </c>
      <c r="L19" s="130">
        <f>COUNTIFS(Table1[POINTS G/L],"&gt;0",Table1[WEEK],J19)/COUNTIFS(Table1[WEEK],J19)</f>
        <v/>
      </c>
      <c r="M19" s="131">
        <f>SUMIFS(Table1[POINTS G/L],Table1[WEEK],$J19)</f>
        <v/>
      </c>
      <c r="N19" s="132">
        <f>IFERROR(COUNTIFS(Table1[ENTRY ATTEMPT],"=1",Table1[WEEK],$J19)/COUNTIFS(Table1[ENTRY ATTEMPT],"&lt;&gt;",Table1[WEEK],$J19),0)</f>
        <v/>
      </c>
    </row>
    <row r="20">
      <c r="B20" s="68" t="n"/>
      <c r="C20" s="79" t="n"/>
      <c r="D20" s="69" t="n"/>
      <c r="E20" s="69" t="n"/>
      <c r="F20" s="74" t="n"/>
      <c r="G20" s="80">
        <f>SUM($G$17:$G$19)</f>
        <v/>
      </c>
      <c r="H20" s="81">
        <f>G20-(G20*CALCS!B13)</f>
        <v/>
      </c>
      <c r="J20" s="128">
        <f>IF(ROW()&gt;=15,$J19-1,MAX(Table1[WEEK]))</f>
        <v/>
      </c>
      <c r="K20" s="129">
        <f>COUNTIF(Table1[WEEK],$J20)</f>
        <v/>
      </c>
      <c r="L20" s="130">
        <f>COUNTIFS(Table1[POINTS G/L],"&gt;0",Table1[WEEK],J20)/COUNTIFS(Table1[WEEK],J20)</f>
        <v/>
      </c>
      <c r="M20" s="131">
        <f>SUMIFS(Table1[POINTS G/L],Table1[WEEK],$J20)</f>
        <v/>
      </c>
      <c r="N20" s="132">
        <f>IFERROR(COUNTIFS(Table1[ENTRY ATTEMPT],"=1",Table1[WEEK],$J20)/COUNTIFS(Table1[ENTRY ATTEMPT],"&lt;&gt;",Table1[WEEK],$J20),0)</f>
        <v/>
      </c>
      <c r="P20" s="116" t="inlineStr">
        <is>
          <t>ENTRY</t>
        </is>
      </c>
      <c r="Q20" s="171" t="inlineStr">
        <is>
          <t>1-3M</t>
        </is>
      </c>
      <c r="R20" s="171" t="inlineStr">
        <is>
          <t>3-5M</t>
        </is>
      </c>
      <c r="S20" s="171" t="inlineStr">
        <is>
          <t>5-10M</t>
        </is>
      </c>
      <c r="T20" s="171" t="inlineStr">
        <is>
          <t>10-20M</t>
        </is>
      </c>
      <c r="U20" s="172" t="inlineStr">
        <is>
          <t>20-50M</t>
        </is>
      </c>
      <c r="V20" s="172" t="inlineStr">
        <is>
          <t>50-100M</t>
        </is>
      </c>
      <c r="W20" s="173" t="inlineStr">
        <is>
          <t>100M &lt;</t>
        </is>
      </c>
    </row>
    <row r="21">
      <c r="B21" s="82" t="inlineStr">
        <is>
          <t>Setup multiplier:</t>
        </is>
      </c>
      <c r="C21" s="83" t="inlineStr">
        <is>
          <t>PM Consolidation</t>
        </is>
      </c>
      <c r="D21" s="84" t="n"/>
      <c r="E21" s="85" t="n">
        <v>2</v>
      </c>
      <c r="F21" s="84" t="n"/>
      <c r="G21" s="80">
        <f>((SUMIFS(Table1[POINTS G/L],Table1[ENTRY],"&lt;"&amp;E17,Table1[SETUP],"&lt;&gt;"&amp;C21)*F17)+(SUMIFS(Table1[POINTS G/L],Table1[ENTRY],"&lt;"&amp;E17,Table1[SETUP],C21)*F17*E21)+(SUMIFS(Table1[POINTS G/L],Table1[ENTRY],"&gt;="&amp;E17,Table1[ENTRY],"&lt;"&amp;E19,Table1[SETUP],"&lt;&gt;"&amp;C21)*F18)+(SUMIFS(Table1[POINTS G/L],Table1[ENTRY],"&gt;="&amp;E17,Table1[ENTRY],"&lt;"&amp;E19,Table1[SETUP],C21)*F18*E21)+(SUMIFS(Table1[POINTS G/L],Table1[ENTRY],"&gt;="&amp;E19,Table1[SETUP],"&lt;&gt;"&amp;C21)*F19)+(SUMIFS(Table1[POINTS G/L],Table1[ENTRY],"&gt;="&amp;E19,Table1[SETUP],C21)*F19*E21))/C26*(C4*C6)</f>
        <v/>
      </c>
      <c r="H21" s="81">
        <f>G21-(G21*CALCS!C13)</f>
        <v/>
      </c>
      <c r="J21" s="128">
        <f>IF(ROW()&gt;=15,$J20-1,MAX(Table1[WEEK]))</f>
        <v/>
      </c>
      <c r="K21" s="129">
        <f>COUNTIF(Table1[WEEK],$J21)</f>
        <v/>
      </c>
      <c r="L21" s="130">
        <f>COUNTIFS(Table1[POINTS G/L],"&gt;0",Table1[WEEK],J21)/COUNTIFS(Table1[WEEK],J21)</f>
        <v/>
      </c>
      <c r="M21" s="131">
        <f>SUMIFS(Table1[POINTS G/L],Table1[WEEK],$J21)</f>
        <v/>
      </c>
      <c r="N21" s="132">
        <f>IFERROR(COUNTIFS(Table1[ENTRY ATTEMPT],"=1",Table1[WEEK],$J21)/COUNTIFS(Table1[ENTRY ATTEMPT],"&lt;&gt;",Table1[WEEK],$J21),0)</f>
        <v/>
      </c>
      <c r="P21" s="136" t="inlineStr">
        <is>
          <t>&lt; 100M</t>
        </is>
      </c>
      <c r="Q21" s="159">
        <f>IFERROR(IF(COUNTIFS(Table1[MARKET CAP],"&lt;100000000",Table1[FLOAT],"&gt;1000000",Table1[FLOAT],"&lt;=3000000")&gt;=10,AVERAGEIFS(Table1[ENTRY],Table1[MARKET CAP],"&lt;100000000",Table1[FLOAT],"&gt;1000000",Table1[FLOAT],"&lt;=3000000"),""),0)</f>
        <v/>
      </c>
      <c r="R21" s="159">
        <f>IFERROR(IF(COUNTIFS(Table1[MARKET CAP],"&lt;100000000",Table1[FLOAT],"&gt;3000000",Table1[FLOAT],"&lt;=5000000")&gt;=10,AVERAGEIFS(Table1[ENTRY],Table1[MARKET CAP],"&lt;100000000",Table1[FLOAT],"&gt;3000000",Table1[FLOAT],"&lt;=5000000"),""),0)</f>
        <v/>
      </c>
      <c r="S21" s="159">
        <f>IFERROR(IF(COUNTIFS(Table1[MARKET CAP],"&lt;100000000",Table1[FLOAT],"&gt;5000000",Table1[FLOAT],"&lt;=10000000")&gt;=10,AVERAGEIFS(Table1[ENTRY],Table1[MARKET CAP],"&lt;100000000",Table1[FLOAT],"&gt;5000000",Table1[FLOAT],"&lt;=10000000"),""),0)</f>
        <v/>
      </c>
      <c r="T21" s="159">
        <f>IFERROR(IF(COUNTIFS(Table1[MARKET CAP],"&lt;100000000",Table1[FLOAT],"&gt;=10000000",Table1[FLOAT],"&lt;20000000")&gt;=10,AVERAGEIFS(Table1[ENTRY],Table1[MARKET CAP],"&lt;100000000",Table1[FLOAT],"&gt;=10000000",Table1[FLOAT],"&lt;20000000"),""),0)</f>
        <v/>
      </c>
      <c r="U21" s="159">
        <f>IFERROR(IF(COUNTIFS(Table1[MARKET CAP],"&lt;100000000",Table1[FLOAT],"&gt;20000000",Table1[FLOAT],"&lt;=50000000")&gt;=10,AVERAGEIFS(Table1[ENTRY],Table1[MARKET CAP],"&lt;100000000",Table1[FLOAT],"&gt;20000000",Table1[FLOAT],"&lt;=50000000"),""),0)</f>
        <v/>
      </c>
      <c r="V21" s="159">
        <f>IFERROR(IF(COUNTIFS(Table1[MARKET CAP],"&lt;100000000",Table1[FLOAT],"&gt;50000000",Table1[FLOAT],"&lt;=100000000")&gt;=10,AVERAGEIFS(Table1[ENTRY],Table1[MARKET CAP],"&lt;100000000",Table1[FLOAT],"&gt;50000000",Table1[FLOAT],"&lt;=100000000"),""),0)</f>
        <v/>
      </c>
      <c r="W21" s="174">
        <f>IFERROR(IF(COUNTIFS(Table1[MARKET CAP],"&lt;100000000",Table1[FLOAT],"&gt;100000000")&gt;=10,AVERAGEIFS(Table1[ENTRY],Table1[MARKET CAP],"&lt;100000000",Table1[FLOAT],"&gt;100000000"),""),0)</f>
        <v/>
      </c>
    </row>
    <row r="22">
      <c r="J22" s="128">
        <f>IF(ROW()&gt;=15,$J21-1,MAX(Table1[WEEK]))</f>
        <v/>
      </c>
      <c r="K22" s="129">
        <f>COUNTIF(Table1[WEEK],$J22)</f>
        <v/>
      </c>
      <c r="L22" s="130">
        <f>COUNTIFS(Table1[POINTS G/L],"&gt;0",Table1[WEEK],J22)/COUNTIFS(Table1[WEEK],J22)</f>
        <v/>
      </c>
      <c r="M22" s="131">
        <f>SUMIFS(Table1[POINTS G/L],Table1[WEEK],$J22)</f>
        <v/>
      </c>
      <c r="N22" s="132">
        <f>IFERROR(COUNTIFS(Table1[ENTRY ATTEMPT],"=1",Table1[WEEK],$J22)/COUNTIFS(Table1[ENTRY ATTEMPT],"&lt;&gt;",Table1[WEEK],$J22),0)</f>
        <v/>
      </c>
      <c r="P22" s="134" t="inlineStr">
        <is>
          <t>100-500M</t>
        </is>
      </c>
      <c r="Q22" s="152">
        <f>IFERROR(IF(COUNTIFS(Table1[MARKET CAP],"&gt;100000000",Table1[MARKET CAP],"&lt;=500000000",Table1[FLOAT],"&gt;3000000",Table1[FLOAT],"&lt;=3000000")&gt;=10,AVERAGEIFS(Table1[ENTRY],Table1[MARKET CAP],"&gt;100000000",Table1[MARKET CAP],"&lt;=500000000",Table1[FLOAT],"&gt;1000000",Table1[FLOAT],"&lt;=3000000"),""),0)</f>
        <v/>
      </c>
      <c r="R22" s="152">
        <f>IFERROR(IF(COUNTIFS(Table1[MARKET CAP],"&gt;100000000",Table1[MARKET CAP],"&lt;=500000000",Table1[FLOAT],"&gt;3000000",Table1[FLOAT],"&lt;=5000000")&gt;=10,AVERAGEIFS(Table1[ENTRY],Table1[MARKET CAP],"&gt;100000000",Table1[MARKET CAP],"&lt;=500000000",Table1[FLOAT],"&gt;3000000",Table1[FLOAT],"&lt;=5000000"),""),0)</f>
        <v/>
      </c>
      <c r="S22" s="152">
        <f>IFERROR(IF(COUNTIFS(Table1[MARKET CAP],"&gt;100000000",Table1[MARKET CAP],"&lt;=500000000",Table1[FLOAT],"&gt;5000000",Table1[FLOAT],"&lt;=10000000")&gt;=10,AVERAGEIFS(Table1[ENTRY],Table1[MARKET CAP],"&gt;100000000",Table1[MARKET CAP],"&lt;=500000000",Table1[FLOAT],"&gt;5000000",Table1[FLOAT],"&lt;=10000000"),""),0)</f>
        <v/>
      </c>
      <c r="T22" s="152">
        <f>IFERROR(IF(COUNTIFS(Table1[MARKET CAP],"&gt;100000000",Table1[MARKET CAP],"&lt;=500000000",Table1[FLOAT],"&gt;10000000",Table1[FLOAT],"&lt;=20000000")&gt;=10,AVERAGEIFS(Table1[ENTRY],Table1[MARKET CAP],"&gt;100000000",Table1[MARKET CAP],"&lt;=500000000",Table1[FLOAT],"&gt;10000000",Table1[FLOAT],"&lt;=20000000"),""),0)</f>
        <v/>
      </c>
      <c r="U22" s="152">
        <f>IFERROR(IF(COUNTIFS(Table1[MARKET CAP],"&gt;100000000",Table1[MARKET CAP],"&lt;=500000000",Table1[FLOAT],"&gt;20000000",Table1[FLOAT],"&lt;=50000000")&gt;=10,AVERAGEIFS(Table1[ENTRY],Table1[MARKET CAP],"&gt;100000000",Table1[MARKET CAP],"&lt;=500000000",Table1[FLOAT],"&gt;20000000",Table1[FLOAT],"&lt;=50000000"),""),0)</f>
        <v/>
      </c>
      <c r="V22" s="152">
        <f>IFERROR(IF(COUNTIFS(Table1[MARKET CAP],"&gt;100000000",Table1[MARKET CAP],"&lt;=500000000",Table1[FLOAT],"&gt;50000000",Table1[FLOAT],"&lt;=100000000")&gt;=10,AVERAGEIFS(Table1[ENTRY],Table1[MARKET CAP],"&gt;100000000",Table1[MARKET CAP],"&lt;=500000000",Table1[FLOAT],"&gt;50000000",Table1[FLOAT],"&lt;=100000000"),""),0)</f>
        <v/>
      </c>
      <c r="W22" s="175">
        <f>IFERROR(IF(COUNTIFS(Table1[MARKET CAP],"&gt;100000000",Table1[MARKET CAP],"&lt;=500000000",Table1[FLOAT],"&gt;100000000")&gt;=10,AVERAGEIFS(Table1[ENTRY],Table1[MARKET CAP],"&gt;100000000",Table1[MARKET CAP],"&lt;=500000000",Table1[FLOAT],"&gt;100000000"),""),0)</f>
        <v/>
      </c>
    </row>
    <row r="23">
      <c r="B23" s="86" t="inlineStr">
        <is>
          <t>GAIN/LOSS</t>
        </is>
      </c>
      <c r="C23" s="52" t="n"/>
      <c r="D23" s="52" t="n"/>
      <c r="E23" s="52" t="n"/>
      <c r="F23" s="52" t="n"/>
      <c r="G23" s="52" t="n"/>
      <c r="H23" s="53" t="n"/>
      <c r="J23" s="137">
        <f>IF(ROW()&gt;=15,$J22-1,MAX(Table1[WEEK]))</f>
        <v/>
      </c>
      <c r="K23" s="138">
        <f>COUNTIF(Table1[WEEK],$J23)</f>
        <v/>
      </c>
      <c r="L23" s="139">
        <f>COUNTIFS(Table1[POINTS G/L],"&gt;0",Table1[WEEK],J23)/COUNTIFS(Table1[WEEK],J23)</f>
        <v/>
      </c>
      <c r="M23" s="140">
        <f>SUMIFS(Table1[POINTS G/L],Table1[WEEK],$J23)</f>
        <v/>
      </c>
      <c r="N23" s="141">
        <f>IFERROR(COUNTIFS(Table1[ENTRY ATTEMPT],"=1",Table1[WEEK],$J23)/COUNTIFS(Table1[ENTRY ATTEMPT],"&lt;&gt;",Table1[WEEK],$J23),0)</f>
        <v/>
      </c>
      <c r="P23" s="134" t="inlineStr">
        <is>
          <t>500M-1B</t>
        </is>
      </c>
      <c r="Q23" s="152">
        <f>IFERROR(IF(COUNTIFS(Table1[MARKET CAP],"&gt;500000000",Table1[MARKET CAP],"&lt;=1000000000",Table1[FLOAT],"&gt;1000000",Table1[FLOAT],"&lt;=3000000")&gt;=10,AVERAGEIFS(Table1[ENTRY],Table1[MARKET CAP],"&gt;500000000",Table1[MARKET CAP],"&lt;=1000000000",Table1[FLOAT],"&gt;1000000",Table1[FLOAT],"&lt;=3000000"),""),0)</f>
        <v/>
      </c>
      <c r="R23" s="152">
        <f>IFERROR(IF(COUNTIFS(Table1[MARKET CAP],"&gt;500000000",Table1[MARKET CAP],"&lt;=1000000000",Table1[FLOAT],"&gt;3000000",Table1[FLOAT],"&lt;=5000000")&gt;=10,AVERAGEIFS(Table1[ENTRY],Table1[MARKET CAP],"&gt;500000000",Table1[MARKET CAP],"&lt;=1000000000",Table1[FLOAT],"&gt;3000000",Table1[FLOAT],"&lt;=5000000"),""),0)</f>
        <v/>
      </c>
      <c r="S23" s="152">
        <f>IFERROR(IF(COUNTIFS(Table1[MARKET CAP],"&gt;500000000",Table1[MARKET CAP],"&lt;=1000000000",Table1[FLOAT],"&gt;5000000",Table1[FLOAT],"&lt;=10000000")&gt;=10,AVERAGEIFS(Table1[ENTRY],Table1[MARKET CAP],"&gt;500000000",Table1[MARKET CAP],"&lt;=1000000000",Table1[FLOAT],"&gt;5000000",Table1[FLOAT],"&lt;=10000000"),""),0)</f>
        <v/>
      </c>
      <c r="T23" s="152">
        <f>IFERROR(IF(COUNTIFS(Table1[MARKET CAP],"&gt;500000000",Table1[MARKET CAP],"&lt;=1000000000",Table1[FLOAT],"&gt;10000000",Table1[FLOAT],"&lt;=20000000")&gt;=10,AVERAGEIFS(Table1[ENTRY],Table1[MARKET CAP],"&gt;500000000",Table1[MARKET CAP],"&lt;=1000000000",Table1[FLOAT],"&gt;10000000",Table1[FLOAT],"&lt;=20000000"),""),0)</f>
        <v/>
      </c>
      <c r="U23" s="152">
        <f>IFERROR(IF(COUNTIFS(Table1[MARKET CAP],"&gt;500000000",Table1[MARKET CAP],"&lt;=1000000000",Table1[FLOAT],"&gt;20000000",Table1[FLOAT],"&lt;=50000000")&gt;=10,AVERAGEIFS(Table1[ENTRY],Table1[MARKET CAP],"&gt;500000000",Table1[MARKET CAP],"&lt;=1000000000",Table1[FLOAT],"&gt;20000000",Table1[FLOAT],"&lt;=50000000"),""),0)</f>
        <v/>
      </c>
      <c r="V23" s="152">
        <f>IFERROR(IF(COUNTIFS(Table1[MARKET CAP],"&gt;500000000",Table1[MARKET CAP],"&lt;=1000000000",Table1[FLOAT],"&gt;50000000",Table1[FLOAT],"&lt;=100000000")&gt;=10,AVERAGEIFS(Table1[ENTRY],Table1[MARKET CAP],"&gt;500000000",Table1[MARKET CAP],"&lt;=1000000000",Table1[FLOAT],"&gt;50000000",Table1[FLOAT],"&lt;=100000000"),""),0)</f>
        <v/>
      </c>
      <c r="W23" s="175">
        <f>IFERROR(IF(COUNTIFS(Table1[MARKET CAP],"&gt;500000000",Table1[MARKET CAP],"&lt;=1000000000",Table1[FLOAT],"&gt;100000000")&gt;=10,AVERAGEIFS(Table1[ENTRY],Table1[MARKET CAP],"&gt;500000000",Table1[MARKET CAP],"&lt;=1000000000",Table1[FLOAT],"&gt;100000000"),""),0)</f>
        <v/>
      </c>
    </row>
    <row r="24">
      <c r="B24" s="54" t="n"/>
      <c r="C24" s="87" t="inlineStr">
        <is>
          <t>All-time</t>
        </is>
      </c>
      <c r="D24" s="87" t="inlineStr">
        <is>
          <t>Last 5 Wk</t>
        </is>
      </c>
      <c r="E24" s="87" t="inlineStr">
        <is>
          <t>&gt; 1 pt</t>
        </is>
      </c>
      <c r="F24" s="88" t="inlineStr">
        <is>
          <t>&gt; 2 pt</t>
        </is>
      </c>
      <c r="G24" s="88" t="inlineStr">
        <is>
          <t>&gt; 3 pt</t>
        </is>
      </c>
      <c r="H24" s="89" t="inlineStr">
        <is>
          <t>&gt; 4 pt</t>
        </is>
      </c>
      <c r="J24" s="142" t="n"/>
      <c r="L24" s="142" t="n"/>
      <c r="P24" s="135" t="inlineStr">
        <is>
          <t>1B &lt;</t>
        </is>
      </c>
      <c r="Q24" s="162">
        <f>IFERROR(IF(COUNTIFS(Table1[MARKET CAP],"&gt;1000000000",Table1[FLOAT],"&gt;10000000",Table1[FLOAT],"&lt;=30000000")&gt;=10,AVERAGEIFS(Table1[ENTRY],Table1[MARKET CAP],"&gt;1000000000",Table1[FLOAT],"&gt;10000000",Table1[FLOAT],"&lt;=30000000"),""),0)</f>
        <v/>
      </c>
      <c r="R24" s="162">
        <f>IFERROR(IF(COUNTIFS(Table1[MARKET CAP],"&gt;1000000000",Table1[FLOAT],"&gt;3000000",Table1[FLOAT],"&lt;=5000000")&gt;=10,AVERAGEIFS(Table1[ENTRY],Table1[MARKET CAP],"&gt;1000000000",Table1[FLOAT],"&gt;3000000",Table1[FLOAT],"&lt;=5000000"),""),0)</f>
        <v/>
      </c>
      <c r="S24" s="162">
        <f>IFERROR(IF(COUNTIFS(Table1[MARKET CAP],"&gt;1000000000",Table1[FLOAT],"&gt;5000000",Table1[FLOAT],"&lt;=10000000")&gt;=10,AVERAGEIFS(Table1[ENTRY],Table1[MARKET CAP],"&gt;1000000000",Table1[FLOAT],"&gt;5000000",Table1[FLOAT],"&lt;=10000000"),""),0)</f>
        <v/>
      </c>
      <c r="T24" s="162">
        <f>IFERROR(IF(COUNTIFS(Table1[MARKET CAP],"&gt;1000000000",Table1[FLOAT],"&gt;10000000",Table1[FLOAT],"&lt;=20000000")&gt;=10,AVERAGEIFS(Table1[ENTRY],Table1[MARKET CAP],"&gt;1000000000",Table1[FLOAT],"&gt;10000000",Table1[FLOAT],"&lt;=20000000"),""),0)</f>
        <v/>
      </c>
      <c r="U24" s="162">
        <f>IFERROR(IF(COUNTIFS(Table1[MARKET CAP],"&gt;1000000000",Table1[FLOAT],"&gt;20000000",Table1[FLOAT],"&lt;=50000000")&gt;=10,AVERAGEIFS(Table1[ENTRY],Table1[MARKET CAP],"&gt;1000000000",Table1[FLOAT],"&gt;20000000",Table1[FLOAT],"&lt;=50000000"),""),0)</f>
        <v/>
      </c>
      <c r="V24" s="162">
        <f>IFERROR(IF(COUNTIFS(Table1[MARKET CAP],"&gt;1000000000",Table1[FLOAT],"&gt;50000000",Table1[FLOAT],"&lt;=100000000")&gt;=10,AVERAGEIFS(Table1[ENTRY],Table1[MARKET CAP],"&gt;1000000000",Table1[FLOAT],"&gt;50000000",Table1[FLOAT],"&lt;=100000000"),""),0)</f>
        <v/>
      </c>
      <c r="W24" s="176">
        <f>IFERROR(IF(COUNTIFS(Table1[MARKET CAP],"&gt;1000000000",Table1[FLOAT],"&gt;100000000")&gt;=10,AVERAGEIFS(Table1[ENTRY],Table1[MARKET CAP],"&gt;1000000000",Table1[FLOAT],"&gt;100000000"),""),0)</f>
        <v/>
      </c>
    </row>
    <row r="25">
      <c r="B25" s="54" t="inlineStr">
        <is>
          <t>Win/Loss %</t>
        </is>
      </c>
      <c r="C25" s="90">
        <f>C28/C27</f>
        <v/>
      </c>
      <c r="D25" s="90">
        <f>AVERAGEIFS(Table2[WIN %],Table2[WEEK],"&gt;="&amp;MAX(Table2[WEEK])-4)</f>
        <v/>
      </c>
      <c r="E25" s="90" t="n"/>
      <c r="H25" s="108" t="n"/>
      <c r="J25" s="143" t="n"/>
    </row>
    <row r="26">
      <c r="B26" s="54" t="inlineStr">
        <is>
          <t>Days (Traded)</t>
        </is>
      </c>
      <c r="C26" s="91">
        <f>SUMPRODUCT((Table1[DATE]&lt;&gt;"")/COUNTIF(Table1[DATE],Table1[DATE]&amp;""))</f>
        <v/>
      </c>
      <c r="H26" s="108" t="n"/>
      <c r="J26" s="31" t="n"/>
      <c r="P26" s="133" t="inlineStr">
        <is>
          <t>WIN %</t>
        </is>
      </c>
      <c r="Q26" s="177" t="inlineStr">
        <is>
          <t>1-3M</t>
        </is>
      </c>
      <c r="R26" s="171" t="inlineStr">
        <is>
          <t>3-5M</t>
        </is>
      </c>
      <c r="S26" s="171" t="inlineStr">
        <is>
          <t>5-10M</t>
        </is>
      </c>
      <c r="T26" s="171" t="inlineStr">
        <is>
          <t>10-20M</t>
        </is>
      </c>
      <c r="U26" s="172" t="inlineStr">
        <is>
          <t>20-50M</t>
        </is>
      </c>
      <c r="V26" s="172" t="inlineStr">
        <is>
          <t>50-100M</t>
        </is>
      </c>
      <c r="W26" s="173" t="inlineStr">
        <is>
          <t>100M &lt;</t>
        </is>
      </c>
    </row>
    <row r="27">
      <c r="B27" s="54" t="inlineStr">
        <is>
          <t>Trades</t>
        </is>
      </c>
      <c r="C27" s="91">
        <f>COUNTA(Table1[POINTS G/L])</f>
        <v/>
      </c>
      <c r="H27" s="108" t="n"/>
      <c r="J27" s="31" t="n"/>
      <c r="P27" s="136" t="inlineStr">
        <is>
          <t>&lt; 100M</t>
        </is>
      </c>
      <c r="Q27" s="178">
        <f>IFERROR(IF(COUNTIFS(Table1[MARKET CAP],"&lt;100000000",Table1[FLOAT],"&gt;1000000",Table1[FLOAT],"&lt;=3000000")&gt;=10,COUNTIFS(Table1[POINTS G/L],"&gt;0",Table1[MARKET CAP],"&lt;100000000",Table1[FLOAT],"&gt;1000000",Table1[FLOAT],"&lt;=3000000")/COUNTIFS(Table1[MARKET CAP],"&lt;100000000",Table1[FLOAT],"&gt;1000000",Table1[FLOAT],"&lt;=3000000"),""),0)</f>
        <v/>
      </c>
      <c r="R27" s="178">
        <f>IFERROR(IF(COUNTIFS(Table1[MARKET CAP],"&lt;100000000",Table1[FLOAT],"&gt;3000000",Table1[FLOAT],"&lt;=5000000")&gt;=10,COUNTIFS(Table1[POINTS G/L],"&gt;0",Table1[MARKET CAP],"&lt;100000000",Table1[FLOAT],"&gt;3000000",Table1[FLOAT],"&lt;=5000000")/COUNTIFS(Table1[MARKET CAP],"&lt;100000000",Table1[FLOAT],"&gt;3000000",Table1[FLOAT],"&lt;=5000000"),""),0)</f>
        <v/>
      </c>
      <c r="S27" s="178">
        <f>IFERROR(IF(COUNTIFS(Table1[MARKET CAP],"&lt;100000000",Table1[FLOAT],"&gt;5000000",Table1[FLOAT],"&lt;=10000000")&gt;=10,COUNTIFS(Table1[POINTS G/L],"&gt;0",Table1[MARKET CAP],"&lt;100000000",Table1[FLOAT],"&gt;5000000",Table1[FLOAT],"&lt;=10000000")/COUNTIFS(Table1[MARKET CAP],"&lt;100000000",Table1[FLOAT],"&gt;5000000",Table1[FLOAT],"&lt;=10000000"),""),0)</f>
        <v/>
      </c>
      <c r="T27" s="178">
        <f>IFERROR(IF(COUNTIFS(Table1[MARKET CAP],"&lt;100000000",Table1[FLOAT],"&gt;10000000",Table1[FLOAT],"&lt;=20000000")&gt;=10,COUNTIFS(Table1[POINTS G/L],"&gt;0",Table1[MARKET CAP],"&lt;100000000",Table1[FLOAT],"&gt;10000000",Table1[FLOAT],"&lt;=20000000")/COUNTIFS(Table1[MARKET CAP],"&lt;100000000",Table1[FLOAT],"&gt;10000000",Table1[FLOAT],"&lt;=20000000"),""),0)</f>
        <v/>
      </c>
      <c r="U27" s="178">
        <f>IFERROR(IF(COUNTIFS(Table1[MARKET CAP],"&lt;100000000",Table1[FLOAT],"&gt;20000000",Table1[FLOAT],"&lt;=50000000")&gt;=10,COUNTIFS(Table1[POINTS G/L],"&gt;0",Table1[MARKET CAP],"&lt;100000000",Table1[FLOAT],"&gt;20000000",Table1[FLOAT],"&lt;=50000000")/COUNTIFS(Table1[MARKET CAP],"&lt;100000000",Table1[FLOAT],"&gt;20000000",Table1[FLOAT],"&lt;=50000000"),""),0)</f>
        <v/>
      </c>
      <c r="V27" s="178">
        <f>IFERROR(IF(COUNTIFS(Table1[MARKET CAP],"&lt;100000000",Table1[FLOAT],"&gt;50000000",Table1[FLOAT],"&lt;=100000000")&gt;=10,COUNTIFS(Table1[POINTS G/L],"&gt;0",Table1[MARKET CAP],"&lt;100000000",Table1[FLOAT],"&gt;50000000",Table1[FLOAT],"&lt;=100000000")/COUNTIFS(Table1[MARKET CAP],"&lt;100000000",Table1[FLOAT],"&gt;50000000",Table1[FLOAT],"&lt;=100000000"),""),0)</f>
        <v/>
      </c>
      <c r="W27" s="179">
        <f>IFERROR(IF(COUNTIFS(Table1[MARKET CAP],"&lt;100000000",Table1[FLOAT],"&gt;100000000")&gt;=10,COUNTIFS(Table1[POINTS G/L],"&gt;0",Table1[MARKET CAP],"&lt;100000000",Table1[FLOAT],"&gt;100000000")/COUNTIFS(Table1[MARKET CAP],"&lt;100000000",Table1[FLOAT],"&gt;100000000"),""),0)</f>
        <v/>
      </c>
    </row>
    <row r="28">
      <c r="B28" s="54" t="inlineStr">
        <is>
          <t>Wins</t>
        </is>
      </c>
      <c r="C28" s="92">
        <f>COUNTIF(Table1[POINTS G/L],"&gt;=0")</f>
        <v/>
      </c>
      <c r="E28" s="92" t="n"/>
      <c r="H28" s="108" t="n"/>
      <c r="J28" s="31" t="n"/>
      <c r="P28" s="134" t="inlineStr">
        <is>
          <t>100-500M</t>
        </is>
      </c>
      <c r="Q28" s="180">
        <f>IFERROR(IF(COUNTIFS(Table1[MARKET CAP],"&gt;100000000",Table1[MARKET CAP],"&lt;=500000000",Table1[FLOAT],"&gt;3000000",Table1[FLOAT],"&lt;=3000000")&gt;=10,COUNTIFS(Table1[POINTS G/L],"&gt;0",Table1[MARKET CAP],"&gt;100000000",Table1[MARKET CAP],"&lt;=500000000",Table1[FLOAT],"&gt;1000000",Table1[FLOAT],"&lt;=3000000")/COUNTIFS(Table1[MARKET CAP],"&gt;100000000",Table1[MARKET CAP],"&lt;=500000000",Table1[FLOAT],"&gt;1000000",Table1[FLOAT],"&lt;=3000000"),""),0)</f>
        <v/>
      </c>
      <c r="R28" s="180">
        <f>IFERROR(IF(COUNTIFS(Table1[MARKET CAP],"&gt;100000000",Table1[MARKET CAP],"&lt;=500000000",Table1[FLOAT],"&gt;3000000",Table1[FLOAT],"&lt;=5000000")&gt;=10,COUNTIFS(Table1[POINTS G/L],"&gt;0",Table1[MARKET CAP],"&gt;100000000",Table1[MARKET CAP],"&lt;=500000000",Table1[FLOAT],"&gt;3000000",Table1[FLOAT],"&lt;=5000000")/COUNTIFS(Table1[MARKET CAP],"&gt;100000000",Table1[MARKET CAP],"&lt;=500000000",Table1[FLOAT],"&gt;3000000",Table1[FLOAT],"&lt;=5000000"),""),0)</f>
        <v/>
      </c>
      <c r="S28" s="180">
        <f>IFERROR(IF(COUNTIFS(Table1[MARKET CAP],"&gt;100000000",Table1[MARKET CAP],"&lt;=500000000",Table1[FLOAT],"&gt;5000000",Table1[FLOAT],"&lt;=10000000")&gt;=10,COUNTIFS(Table1[POINTS G/L],"&gt;0",Table1[MARKET CAP],"&gt;100000000",Table1[MARKET CAP],"&lt;=500000000",Table1[FLOAT],"&gt;5000000",Table1[FLOAT],"&lt;=10000000")/COUNTIFS(Table1[MARKET CAP],"&gt;100000000",Table1[MARKET CAP],"&lt;=500000000",Table1[FLOAT],"&gt;5000000",Table1[FLOAT],"&lt;=10000000"),""),0)</f>
        <v/>
      </c>
      <c r="T28" s="180">
        <f>IFERROR(IF(COUNTIFS(Table1[MARKET CAP],"&gt;100000000",Table1[MARKET CAP],"&lt;=500000000",Table1[FLOAT],"&gt;10000000",Table1[FLOAT],"&lt;=20000000")&gt;=10,COUNTIFS(Table1[POINTS G/L],"&gt;0",Table1[MARKET CAP],"&gt;100000000",Table1[MARKET CAP],"&lt;=500000000",Table1[FLOAT],"&gt;10000000",Table1[FLOAT],"&lt;=20000000")/COUNTIFS(Table1[MARKET CAP],"&gt;100000000",Table1[MARKET CAP],"&lt;=500000000",Table1[FLOAT],"&gt;10000000",Table1[FLOAT],"&lt;=20000000"),""),0)</f>
        <v/>
      </c>
      <c r="U28" s="180">
        <f>IFERROR(IF(COUNTIFS(Table1[MARKET CAP],"&gt;100000000",Table1[MARKET CAP],"&lt;=500000000",Table1[FLOAT],"&gt;20000000",Table1[FLOAT],"&lt;=50000000")&gt;=10,COUNTIFS(Table1[POINTS G/L],"&gt;0",Table1[MARKET CAP],"&gt;100000000",Table1[MARKET CAP],"&lt;=500000000",Table1[FLOAT],"&gt;20000000",Table1[FLOAT],"&lt;=50000000")/COUNTIFS(Table1[MARKET CAP],"&gt;100000000",Table1[MARKET CAP],"&lt;=500000000",Table1[FLOAT],"&gt;20000000",Table1[FLOAT],"&lt;=50000000"),""),0)</f>
        <v/>
      </c>
      <c r="V28" s="180">
        <f>IFERROR(IF(COUNTIFS(Table1[MARKET CAP],"&lt;100000000",Table1[MARKET CAP],"&gt;100000000",Table1[MARKET CAP],"&lt;=500000000",Table1[FLOAT],"&gt;50000000",Table1[FLOAT],"&lt;=100000000")&gt;=10,COUNTIFS(Table1[POINTS G/L],"&gt;0",Table1[MARKET CAP],"&gt;100000000",Table1[MARKET CAP],"&lt;=500000000",Table1[FLOAT],"&gt;50000000",Table1[FLOAT],"&lt;=100000000")/COUNTIFS(Table1[MARKET CAP],"&gt;100000000",Table1[MARKET CAP],"&lt;=500000000",Table1[FLOAT],"&gt;50000000",Table1[FLOAT],"&lt;=100000000"),""),0)</f>
        <v/>
      </c>
      <c r="W28" s="181">
        <f>IFERROR(IF(COUNTIFS(Table1[MARKET CAP],"&gt;100000000",Table1[MARKET CAP],"&lt;=500000000",Table1[FLOAT],"&gt;100000000")&gt;=10,COUNTIFS(Table1[POINTS G/L],"&gt;0",Table1[MARKET CAP],"&gt;100000000",Table1[MARKET CAP],"&lt;=500000000",Table1[FLOAT],"&gt;100000000")/COUNTIFS(Table1[MARKET CAP],"&gt;100000000",Table1[MARKET CAP],"&lt;=500000000",Table1[FLOAT],"&gt;100000000"),""),0)</f>
        <v/>
      </c>
    </row>
    <row r="29">
      <c r="B29" s="54" t="inlineStr">
        <is>
          <t>Points /s (Net)</t>
        </is>
      </c>
      <c r="C29" s="92">
        <f>SUM(Table1[POINTS G/L])</f>
        <v/>
      </c>
      <c r="D29" s="92">
        <f>SUMIFS(Table2[POINTS],Table2[WEEK],"&gt;="&amp;MAX(Table2[WEEK])-4)</f>
        <v/>
      </c>
      <c r="E29" s="92">
        <f>SUMIF(Table1[POINTS G/L],"&gt;1")</f>
        <v/>
      </c>
      <c r="F29" s="92">
        <f>SUMIF(Table1[POINTS G/L],"&gt;2")</f>
        <v/>
      </c>
      <c r="G29" s="92">
        <f>SUMIF(Table1[POINTS G/L],"&gt;3")</f>
        <v/>
      </c>
      <c r="H29" s="93">
        <f>SUMIF(Table1[POINTS G/L],"&gt;4")</f>
        <v/>
      </c>
      <c r="P29" s="134" t="inlineStr">
        <is>
          <t>500M-1B</t>
        </is>
      </c>
      <c r="Q29" s="180">
        <f>IFERROR(IF(COUNTIFS(Table1[MARKET CAP],"&gt;500000000",Table1[MARKET CAP],"&lt;=1000000000",Table1[FLOAT],"&gt;1000000",Table1[FLOAT],"&lt;=3000000")&gt;=10,COUNTIFS(Table1[POINTS G/L],"&gt;0",Table1[MARKET CAP],"&gt;500000000",Table1[MARKET CAP],"&lt;=1000000000",Table1[FLOAT],"&gt;1000000",Table1[FLOAT],"&lt;=3000000")/COUNTIFS(Table1[MARKET CAP],"&gt;500000000",Table1[MARKET CAP],"&lt;=1000000000",Table1[FLOAT],"&gt;1000000",Table1[FLOAT],"&lt;=3000000"),""),0)</f>
        <v/>
      </c>
      <c r="R29" s="180">
        <f>IFERROR(IF(COUNTIFS(Table1[MARKET CAP],"&gt;500000000",Table1[MARKET CAP],"&lt;=1000000000",Table1[FLOAT],"&gt;3000000",Table1[FLOAT],"&lt;=5000000")&gt;=10,COUNTIFS(Table1[POINTS G/L],"&gt;0",Table1[MARKET CAP],"&gt;500000000",Table1[MARKET CAP],"&lt;=1000000000",Table1[FLOAT],"&gt;3000000",Table1[FLOAT],"&lt;=5000000")/COUNTIFS(Table1[MARKET CAP],"&gt;500000000",Table1[MARKET CAP],"&lt;=1000000000",Table1[FLOAT],"&gt;3000000",Table1[FLOAT],"&lt;=5000000"),""),0)</f>
        <v/>
      </c>
      <c r="S29" s="180">
        <f>IFERROR(IF(COUNTIFS(Table1[MARKET CAP],"&gt;500000000",Table1[MARKET CAP],"&lt;=1000000000",Table1[FLOAT],"&gt;5000000",Table1[FLOAT],"&lt;=10000000")&gt;=10,COUNTIFS(Table1[POINTS G/L],"&gt;0",Table1[MARKET CAP],"&gt;500000000",Table1[MARKET CAP],"&lt;=1000000000",Table1[FLOAT],"&gt;5000000",Table1[FLOAT],"&lt;=10000000")/COUNTIFS(Table1[MARKET CAP],"&gt;500000000",Table1[MARKET CAP],"&lt;=1000000000",Table1[FLOAT],"&gt;5000000",Table1[FLOAT],"&lt;=10000000"),""),0)</f>
        <v/>
      </c>
      <c r="T29" s="180">
        <f>IFERROR(IF(COUNTIFS(Table1[MARKET CAP],"&gt;500000000",Table1[MARKET CAP],"&lt;=1000000000",Table1[FLOAT],"&gt;10000000",Table1[FLOAT],"&lt;=20000000")&gt;=10,COUNTIFS(Table1[POINTS G/L],"&gt;0",Table1[MARKET CAP],"&gt;500000000",Table1[MARKET CAP],"&lt;=1000000000",Table1[FLOAT],"&gt;10000000",Table1[FLOAT],"&lt;=20000000")/COUNTIFS(Table1[MARKET CAP],"&gt;500000000",Table1[MARKET CAP],"&lt;=1000000000",Table1[FLOAT],"&gt;10000000",Table1[FLOAT],"&lt;=20000000"),""),0)</f>
        <v/>
      </c>
      <c r="U29" s="180">
        <f>IFERROR(IF(COUNTIFS(Table1[MARKET CAP],"&gt;500000000",Table1[MARKET CAP],"&lt;=1000000000",Table1[FLOAT],"&gt;20000000",Table1[FLOAT],"&lt;=50000000")&gt;=10,COUNTIFS(Table1[POINTS G/L],"&gt;0",Table1[MARKET CAP],"&gt;500000000",Table1[MARKET CAP],"&lt;=1000000000",Table1[FLOAT],"&gt;20000000",Table1[FLOAT],"&lt;=50000000")/COUNTIFS(Table1[MARKET CAP],"&gt;500000000",Table1[MARKET CAP],"&lt;=1000000000",Table1[FLOAT],"&gt;20000000",Table1[FLOAT],"&lt;=50000000"),""),0)</f>
        <v/>
      </c>
      <c r="V29" s="180">
        <f>IFERROR(IF(COUNTIFS(Table1[MARKET CAP],"&gt;500000000",Table1[MARKET CAP],"&lt;=1000000000",Table1[FLOAT],"&gt;50000000",Table1[FLOAT],"&lt;=100000000")&gt;=10,COUNTIFS(Table1[POINTS G/L],"&gt;0",Table1[MARKET CAP],"&gt;500000000",Table1[MARKET CAP],"&lt;=1000000000",Table1[FLOAT],"&gt;50000000",Table1[FLOAT],"&lt;=100000000")/COUNTIFS(Table1[MARKET CAP],"&gt;500000000",Table1[MARKET CAP],"&lt;=1000000000",Table1[FLOAT],"&gt;50000000",Table1[FLOAT],"&lt;=100000000"),""),0)</f>
        <v/>
      </c>
      <c r="W29" s="181">
        <f>IFERROR(IF(COUNTIFS(Table1[MARKET CAP],"&gt;500000000",Table1[MARKET CAP],"&lt;=1000000000",Table1[FLOAT],"&gt;100000000")&gt;=10,COUNTIFS(Table1[POINTS G/L],"&gt;0",Table1[MARKET CAP],"&gt;500000000",Table1[MARKET CAP],"&lt;=1000000000",Table1[FLOAT],"&gt;100000000")/COUNTIFS(Table1[MARKET CAP],"&gt;500000000",Table1[MARKET CAP],"&lt;=1000000000",Table1[FLOAT],"&gt;100000000"),""),0)</f>
        <v/>
      </c>
    </row>
    <row r="30">
      <c r="B30" s="54" t="inlineStr">
        <is>
          <t>Points % /s (Net)</t>
        </is>
      </c>
      <c r="C30" s="92" t="n"/>
      <c r="E30" s="94">
        <f>E29/$C$29</f>
        <v/>
      </c>
      <c r="F30" s="94">
        <f>F29/$C$29</f>
        <v/>
      </c>
      <c r="G30" s="94">
        <f>G29/$C$29</f>
        <v/>
      </c>
      <c r="H30" s="95">
        <f>H29/$C$29</f>
        <v/>
      </c>
      <c r="K30" s="30" t="n"/>
      <c r="P30" s="135" t="inlineStr">
        <is>
          <t>1B &lt;</t>
        </is>
      </c>
      <c r="Q30" s="182">
        <f>IFERROR(IF(COUNTIFS(Table1[MARKET CAP],"&gt;1000000000",Table1[FLOAT],"&gt;10000000",Table1[FLOAT],"&lt;=30000000")&gt;=10,COUNTIFS(Table1[POINTS G/L],"&gt;0",Table1[MARKET CAP],"&gt;1000000000",Table1[FLOAT],"&gt;10000000",Table1[FLOAT],"&lt;=30000000")/COUNTIFS(Table1[MARKET CAP],"&gt;1000000000",Table1[FLOAT],"&gt;10000000",Table1[FLOAT],"&lt;=30000000"),""),0)</f>
        <v/>
      </c>
      <c r="R30" s="182">
        <f>IFERROR(IF(COUNTIFS(Table1[MARKET CAP],"&gt;1000000000",Table1[FLOAT],"&gt;3000000",Table1[FLOAT],"&lt;=5000000")&gt;=10,COUNTIFS(Table1[POINTS G/L],"&gt;0",Table1[MARKET CAP],"&gt;1000000000",Table1[FLOAT],"&gt;3000000",Table1[FLOAT],"&lt;=5000000")/COUNTIFS(Table1[MARKET CAP],"&gt;1000000000",Table1[FLOAT],"&gt;3000000",Table1[FLOAT],"&lt;=5000000"),""),0)</f>
        <v/>
      </c>
      <c r="S30" s="182">
        <f>IFERROR(IF(COUNTIFS(Table1[MARKET CAP],"&gt;1000000000",Table1[FLOAT],"&gt;5000000",Table1[FLOAT],"&lt;=10000000")&gt;=10,COUNTIFS(Table1[POINTS G/L],"&gt;0",Table1[MARKET CAP],"&gt;1000000000",Table1[FLOAT],"&gt;5000000",Table1[FLOAT],"&lt;=10000000")/COUNTIFS(Table1[MARKET CAP],"&gt;1000000000",Table1[FLOAT],"&gt;5000000",Table1[FLOAT],"&lt;=10000000"),""),0)</f>
        <v/>
      </c>
      <c r="T30" s="182">
        <f>IFERROR(IF(COUNTIFS(Table1[MARKET CAP],"&gt;1000000000",Table1[FLOAT],"&gt;10000000",Table1[FLOAT],"&lt;=20000000")&gt;=10,COUNTIFS(Table1[POINTS G/L],"&gt;0",Table1[MARKET CAP],"&gt;1000000000",Table1[FLOAT],"&gt;10000000",Table1[FLOAT],"&lt;=20000000")/COUNTIFS(Table1[MARKET CAP],"&gt;1000000000",Table1[FLOAT],"&gt;10000000",Table1[FLOAT],"&lt;=20000000"),""),0)</f>
        <v/>
      </c>
      <c r="U30" s="182">
        <f>IFERROR(IF(COUNTIFS(Table1[MARKET CAP],"&gt;1000000000",Table1[FLOAT],"&gt;20000000",Table1[FLOAT],"&lt;=50000000")&gt;=10,COUNTIFS(Table1[POINTS G/L],"&gt;0",Table1[MARKET CAP],"&gt;1000000000",Table1[FLOAT],"&gt;20000000",Table1[FLOAT],"&lt;=50000000")/COUNTIFS(Table1[MARKET CAP],"&gt;1000000000",Table1[FLOAT],"&gt;20000000",Table1[FLOAT],"&lt;=50000000"),""),0)</f>
        <v/>
      </c>
      <c r="V30" s="182">
        <f>IFERROR(IF(COUNTIFS(Table1[MARKET CAP],"&gt;1000000000",Table1[FLOAT],"&gt;50000000",Table1[FLOAT],"&lt;=100000000")&gt;=10,COUNTIFS(Table1[POINTS G/L],"&gt;0",Table1[MARKET CAP],"&gt;1000000000",Table1[FLOAT],"&gt;50000000",Table1[FLOAT],"&lt;=100000000")/COUNTIFS(Table1[MARKET CAP],"&gt;1000000000",Table1[FLOAT],"&gt;50000000",Table1[FLOAT],"&lt;=100000000"),""),0)</f>
        <v/>
      </c>
      <c r="W30" s="183">
        <f>IFERROR(IF(COUNTIFS(Table1[MARKET CAP],"&gt;1000000000",Table1[FLOAT],"&gt;100000000")&gt;=10,COUNTIFS(Table1[POINTS G/L],"&gt;0",Table1[MARKET CAP],"&gt;1000000000",Table1[FLOAT],"&gt;100000000")/COUNTIFS(Table1[MARKET CAP],"&gt;1000000000",Table1[FLOAT],"&gt;100000000"),""),0)</f>
        <v/>
      </c>
    </row>
    <row r="31">
      <c r="B31" s="54" t="inlineStr">
        <is>
          <t>Points /s (Wk Ave)</t>
        </is>
      </c>
      <c r="C31" s="101">
        <f>C29/($C$26/5)</f>
        <v/>
      </c>
      <c r="D31" s="101" t="n"/>
      <c r="E31" s="101" t="n"/>
      <c r="F31" s="101" t="n"/>
      <c r="G31" s="101" t="n"/>
      <c r="H31" s="97" t="n"/>
      <c r="K31" s="30" t="n"/>
    </row>
    <row r="32">
      <c r="B32" s="54" t="inlineStr">
        <is>
          <t>Entry Success %</t>
        </is>
      </c>
      <c r="C32" s="94">
        <f>COUNTIF(Table1[ENTRY ATTEMPT],"=1")/COUNT(Table1[ENTRY ATTEMPT])</f>
        <v/>
      </c>
      <c r="E32" s="101" t="n"/>
      <c r="F32" s="101" t="n"/>
      <c r="G32" s="101" t="n"/>
      <c r="H32" s="97" t="n"/>
      <c r="K32" s="30" t="n"/>
      <c r="P32" s="116" t="inlineStr">
        <is>
          <t>POINTS</t>
        </is>
      </c>
      <c r="Q32" s="171" t="inlineStr">
        <is>
          <t>1-3M</t>
        </is>
      </c>
      <c r="R32" s="171" t="inlineStr">
        <is>
          <t>3-5M</t>
        </is>
      </c>
      <c r="S32" s="171" t="inlineStr">
        <is>
          <t>5-10M</t>
        </is>
      </c>
      <c r="T32" s="171" t="inlineStr">
        <is>
          <t>10-20M</t>
        </is>
      </c>
      <c r="U32" s="172" t="inlineStr">
        <is>
          <t>20-50M</t>
        </is>
      </c>
      <c r="V32" s="172" t="inlineStr">
        <is>
          <t>50-100M</t>
        </is>
      </c>
      <c r="W32" s="173" t="inlineStr">
        <is>
          <t>100M &lt;</t>
        </is>
      </c>
    </row>
    <row r="33">
      <c r="B33" s="54" t="inlineStr">
        <is>
          <t>Negative trades</t>
        </is>
      </c>
      <c r="C33" s="98">
        <f t="array" ref="C33">MAX(FREQUENCY(IF(Table1[POINTS G/L]&lt;0,ROW(Table1[POINTS G/L])),IF(Table1[POINTS G/L]&gt;=0,ROW(Table1[POINTS G/L]))))</f>
        <v/>
      </c>
      <c r="D33" s="91" t="inlineStr">
        <is>
          <t>Greatest sequence of negative trades</t>
        </is>
      </c>
      <c r="E33" s="101" t="n"/>
      <c r="F33" s="101" t="n"/>
      <c r="G33" s="101" t="n"/>
      <c r="H33" s="97" t="n"/>
      <c r="K33" s="30" t="n"/>
      <c r="P33" s="136" t="inlineStr">
        <is>
          <t>&lt; 100M</t>
        </is>
      </c>
      <c r="Q33" s="159">
        <f>IFERROR(IF(COUNTIFS(Table1[MARKET CAP],"&lt;100000000",Table1[FLOAT],"&gt;1000000",Table1[FLOAT],"&lt;=3000000")&gt;=10,AVERAGEIFS(Table1[POINTS G/L],Table1[MARKET CAP],"&lt;100000000",Table1[FLOAT],"&gt;1000000",Table1[FLOAT],"&lt;=3000000"),""),0)</f>
        <v/>
      </c>
      <c r="R33" s="159">
        <f>IFERROR(IF(COUNTIFS(Table1[MARKET CAP],"&lt;100000000",Table1[FLOAT],"&gt;3000000",Table1[FLOAT],"&lt;=5000000")&gt;=10,AVERAGEIFS(Table1[POINTS G/L],Table1[MARKET CAP],"&lt;100000000",Table1[FLOAT],"&gt;3000000",Table1[FLOAT],"&lt;=5000000"),""),0)</f>
        <v/>
      </c>
      <c r="S33" s="159">
        <f>IFERROR(IF(COUNTIFS(Table1[MARKET CAP],"&lt;100000000",Table1[FLOAT],"&gt;5000000",Table1[FLOAT],"&lt;=10000000")&gt;=10,AVERAGEIFS(Table1[POINTS G/L],Table1[MARKET CAP],"&lt;100000000",Table1[FLOAT],"&gt;5000000",Table1[FLOAT],"&lt;=10000000"),""),0)</f>
        <v/>
      </c>
      <c r="T33" s="159">
        <f>IFERROR(IF(COUNTIFS(Table1[MARKET CAP],"&lt;100000000",Table1[FLOAT],"&gt;=10000000",Table1[FLOAT],"&lt;20000000")&gt;=10,AVERAGEIFS(Table1[POINTS G/L],Table1[MARKET CAP],"&lt;100000000",Table1[FLOAT],"&gt;=10000000",Table1[FLOAT],"&lt;20000000"),""),0)</f>
        <v/>
      </c>
      <c r="U33" s="159">
        <f>IFERROR(IF(COUNTIFS(Table1[MARKET CAP],"&lt;100000000",Table1[FLOAT],"&gt;20000000",Table1[FLOAT],"&lt;=50000000")&gt;=10,AVERAGEIFS(Table1[POINTS G/L],Table1[MARKET CAP],"&lt;100000000",Table1[FLOAT],"&gt;20000000",Table1[FLOAT],"&lt;=50000000"),""),0)</f>
        <v/>
      </c>
      <c r="V33" s="159">
        <f>IFERROR(IF(COUNTIFS(Table1[MARKET CAP],"&lt;100000000",Table1[FLOAT],"&gt;50000000",Table1[FLOAT],"&lt;=100000000")&gt;=10,AVERAGEIFS(Table1[POINTS G/L],Table1[MARKET CAP],"&lt;100000000",Table1[FLOAT],"&gt;50000000",Table1[FLOAT],"&lt;=100000000"),""),0)</f>
        <v/>
      </c>
      <c r="W33" s="174">
        <f>IFERROR(IF(COUNTIFS(Table1[MARKET CAP],"&lt;100000000",Table1[FLOAT],"&gt;100000000")&gt;=10,AVERAGEIFS(Table1[POINTS G/L],Table1[MARKET CAP],"&lt;100000000",Table1[FLOAT],"&gt;100000000"),""),0)</f>
        <v/>
      </c>
    </row>
    <row r="34">
      <c r="B34" s="54" t="inlineStr">
        <is>
          <t>Ave neg trades</t>
        </is>
      </c>
      <c r="C34" s="99">
        <f t="array" ref="C34">AVERAGE(IFERROR(1/(1/FREQUENCY(IF(Table1[POINTS G/L]&lt;0,ROW(Table1[POINTS G/L])),IF(Table1[POINTS G/L]&gt;=0,ROW(Table1[POINTS G/L])))),""))</f>
        <v/>
      </c>
      <c r="D34" s="91" t="inlineStr">
        <is>
          <t>Average sequence of negative trades</t>
        </is>
      </c>
      <c r="E34" s="101" t="n"/>
      <c r="F34" s="101" t="n"/>
      <c r="G34" s="101" t="n"/>
      <c r="H34" s="97" t="n"/>
      <c r="K34" s="30" t="n"/>
      <c r="P34" s="134" t="inlineStr">
        <is>
          <t>100-500M</t>
        </is>
      </c>
      <c r="Q34" s="152">
        <f>IFERROR(IF(COUNTIFS(Table1[MARKET CAP],"&gt;100000000",Table1[MARKET CAP],"&lt;=500000000",Table1[FLOAT],"&gt;3000000",Table1[FLOAT],"&lt;=3000000")&gt;=10,AVERAGEIFS(Table1[POINTS G/L],Table1[MARKET CAP],"&gt;100000000",Table1[MARKET CAP],"&lt;=500000000",Table1[FLOAT],"&gt;1000000",Table1[FLOAT],"&lt;=3000000"),""),0)</f>
        <v/>
      </c>
      <c r="R34" s="152">
        <f>IFERROR(IF(COUNTIFS(Table1[MARKET CAP],"&gt;100000000",Table1[MARKET CAP],"&lt;=500000000",Table1[FLOAT],"&gt;3000000",Table1[FLOAT],"&lt;=5000000")&gt;=10,AVERAGEIFS(Table1[POINTS G/L],Table1[MARKET CAP],"&gt;100000000",Table1[MARKET CAP],"&lt;=500000000",Table1[FLOAT],"&gt;3000000",Table1[FLOAT],"&lt;=5000000"),""),0)</f>
        <v/>
      </c>
      <c r="S34" s="152">
        <f>IFERROR(IF(COUNTIFS(Table1[MARKET CAP],"&gt;100000000",Table1[MARKET CAP],"&lt;=500000000",Table1[FLOAT],"&gt;5000000",Table1[FLOAT],"&lt;=10000000")&gt;=10,AVERAGEIFS(Table1[POINTS G/L],Table1[MARKET CAP],"&gt;100000000",Table1[MARKET CAP],"&lt;=500000000",Table1[FLOAT],"&gt;5000000",Table1[FLOAT],"&lt;=10000000"),""),0)</f>
        <v/>
      </c>
      <c r="T34" s="152">
        <f>IFERROR(IF(COUNTIFS(Table1[MARKET CAP],"&gt;100000000",Table1[MARKET CAP],"&lt;=500000000",Table1[FLOAT],"&gt;10000000",Table1[FLOAT],"&lt;=20000000")&gt;=10,AVERAGEIFS(Table1[POINTS G/L],Table1[MARKET CAP],"&gt;100000000",Table1[MARKET CAP],"&lt;=500000000",Table1[FLOAT],"&gt;10000000",Table1[FLOAT],"&lt;=20000000"),""),0)</f>
        <v/>
      </c>
      <c r="U34" s="152">
        <f>IFERROR(IF(COUNTIFS(Table1[MARKET CAP],"&gt;100000000",Table1[MARKET CAP],"&lt;=500000000",Table1[FLOAT],"&gt;20000000",Table1[FLOAT],"&lt;=50000000")&gt;=10,AVERAGEIFS(Table1[POINTS G/L],Table1[MARKET CAP],"&gt;100000000",Table1[MARKET CAP],"&lt;=500000000",Table1[FLOAT],"&gt;20000000",Table1[FLOAT],"&lt;=50000000"),""),0)</f>
        <v/>
      </c>
      <c r="V34" s="152">
        <f>IFERROR(IF(COUNTIFS(Table1[MARKET CAP],"&lt;100000000",Table1[MARKET CAP],"&gt;100000000",Table1[MARKET CAP],"&lt;=500000000",Table1[FLOAT],"&gt;50000000",Table1[FLOAT],"&lt;=100000000")&gt;=10,AVERAGEIFS(Table1[POINTS G/L],Table1[MARKET CAP],"&gt;100000000",Table1[MARKET CAP],"&lt;=500000000",Table1[FLOAT],"&gt;50000000",Table1[FLOAT],"&lt;=100000000"),""),0)</f>
        <v/>
      </c>
      <c r="W34" s="175">
        <f>IFERROR(IF(COUNTIFS(Table1[MARKET CAP],"&gt;100000000",Table1[MARKET CAP],"&lt;=500000000",Table1[FLOAT],"&gt;100000000")&gt;=10,AVERAGEIFS(Table1[POINTS G/L],Table1[MARKET CAP],"&gt;100000000",Table1[MARKET CAP],"&lt;=500000000",Table1[FLOAT],"&gt;100000000"),""),0)</f>
        <v/>
      </c>
    </row>
    <row r="35">
      <c r="B35" s="54" t="inlineStr">
        <is>
          <t>PM Trades</t>
        </is>
      </c>
      <c r="C35" s="92">
        <f>COUNTIFS(Table1[TIME],"&gt;="&amp;CALCS!A4,Table1[TIME],"&lt;"&amp;CALCS!A6)</f>
        <v/>
      </c>
      <c r="H35" s="108" t="n"/>
      <c r="K35" s="30" t="n"/>
      <c r="P35" s="134" t="inlineStr">
        <is>
          <t>500M-1B</t>
        </is>
      </c>
      <c r="Q35" s="152">
        <f>IFERROR(IF(COUNTIFS(Table1[MARKET CAP],"&gt;500000000",Table1[MARKET CAP],"&lt;=1000000000",Table1[FLOAT],"&gt;1000000",Table1[FLOAT],"&lt;=3000000")&gt;=10,AVERAGEIFS(Table1[POINTS G/L],Table1[MARKET CAP],"&gt;500000000",Table1[MARKET CAP],"&lt;=1000000000",Table1[FLOAT],"&gt;1000000",Table1[FLOAT],"&lt;=3000000"),""),0)</f>
        <v/>
      </c>
      <c r="R35" s="152">
        <f>IFERROR(IF(COUNTIFS(Table1[MARKET CAP],"&gt;500000000",Table1[MARKET CAP],"&lt;=1000000000",Table1[FLOAT],"&gt;3000000",Table1[FLOAT],"&lt;=5000000")&gt;=10,AVERAGEIFS(Table1[POINTS G/L],Table1[MARKET CAP],"&gt;500000000",Table1[MARKET CAP],"&lt;=1000000000",Table1[FLOAT],"&gt;3000000",Table1[FLOAT],"&lt;=5000000"),""),0)</f>
        <v/>
      </c>
      <c r="S35" s="152">
        <f>IFERROR(IF(COUNTIFS(Table1[MARKET CAP],"&gt;500000000",Table1[MARKET CAP],"&lt;=1000000000",Table1[FLOAT],"&gt;5000000",Table1[FLOAT],"&lt;=10000000")&gt;=10,AVERAGEIFS(Table1[POINTS G/L],Table1[MARKET CAP],"&gt;500000000",Table1[MARKET CAP],"&lt;=1000000000",Table1[FLOAT],"&gt;5000000",Table1[FLOAT],"&lt;=10000000"),""),0)</f>
        <v/>
      </c>
      <c r="T35" s="152">
        <f>IFERROR(IF(COUNTIFS(Table1[MARKET CAP],"&gt;500000000",Table1[MARKET CAP],"&lt;=1000000000",Table1[FLOAT],"&gt;10000000",Table1[FLOAT],"&lt;=20000000")&gt;=10,AVERAGEIFS(Table1[POINTS G/L],Table1[MARKET CAP],"&gt;500000000",Table1[MARKET CAP],"&lt;=1000000000",Table1[FLOAT],"&gt;10000000",Table1[FLOAT],"&lt;=20000000"),""),0)</f>
        <v/>
      </c>
      <c r="U35" s="152">
        <f>IFERROR(IF(COUNTIFS(Table1[MARKET CAP],"&gt;500000000",Table1[MARKET CAP],"&lt;=1000000000",Table1[FLOAT],"&gt;20000000",Table1[FLOAT],"&lt;=50000000")&gt;=10,AVERAGEIFS(Table1[POINTS G/L],Table1[MARKET CAP],"&gt;500000000",Table1[MARKET CAP],"&lt;=1000000000",Table1[FLOAT],"&gt;20000000",Table1[FLOAT],"&lt;=50000000"),""),0)</f>
        <v/>
      </c>
      <c r="V35" s="152">
        <f>IFERROR(IF(COUNTIFS(Table1[MARKET CAP],"&gt;500000000",Table1[MARKET CAP],"&lt;=1000000000",Table1[FLOAT],"&gt;50000000",Table1[FLOAT],"&lt;=100000000")&gt;=10,AVERAGEIFS(Table1[POINTS G/L],Table1[MARKET CAP],"&gt;500000000",Table1[MARKET CAP],"&lt;=1000000000",Table1[FLOAT],"&gt;50000000",Table1[FLOAT],"&lt;=100000000"),""),0)</f>
        <v/>
      </c>
      <c r="W35" s="175">
        <f>IFERROR(IF(COUNTIFS(Table1[MARKET CAP],"&gt;500000000",Table1[MARKET CAP],"&lt;=1000000000",Table1[FLOAT],"&gt;100000000")&gt;=10,AVERAGEIFS(Table1[POINTS G/L],Table1[MARKET CAP],"&gt;500000000",Table1[MARKET CAP],"&lt;=1000000000",Table1[FLOAT],"&gt;100000000"),""),0)</f>
        <v/>
      </c>
    </row>
    <row r="36">
      <c r="B36" s="54" t="inlineStr">
        <is>
          <t>PM Trades %</t>
        </is>
      </c>
      <c r="C36" s="94">
        <f>(C35/C27)</f>
        <v/>
      </c>
      <c r="H36" s="108" t="n"/>
      <c r="K36" s="30" t="n"/>
      <c r="P36" s="135" t="inlineStr">
        <is>
          <t>1B &lt;</t>
        </is>
      </c>
      <c r="Q36" s="162">
        <f>IFERROR(IF(COUNTIFS(Table1[MARKET CAP],"&gt;1000000000",Table1[FLOAT],"&gt;10000000",Table1[FLOAT],"&lt;=30000000")&gt;=10,AVERAGEIFS(Table1[POINTS G/L],Table1[MARKET CAP],"&gt;1000000000",Table1[FLOAT],"&gt;10000000",Table1[FLOAT],"&lt;=30000000"),""),0)</f>
        <v/>
      </c>
      <c r="R36" s="162">
        <f>IFERROR(IF(COUNTIFS(Table1[MARKET CAP],"&gt;1000000000",Table1[FLOAT],"&gt;3000000",Table1[FLOAT],"&lt;=5000000")&gt;=10,AVERAGEIFS(Table1[POINTS G/L],Table1[MARKET CAP],"&gt;1000000000",Table1[FLOAT],"&gt;3000000",Table1[FLOAT],"&lt;=5000000"),""),0)</f>
        <v/>
      </c>
      <c r="S36" s="162">
        <f>IFERROR(IF(COUNTIFS(Table1[MARKET CAP],"&gt;1000000000",Table1[FLOAT],"&gt;5000000",Table1[FLOAT],"&lt;=10000000")&gt;=10,AVERAGEIFS(Table1[POINTS G/L],Table1[MARKET CAP],"&gt;1000000000",Table1[FLOAT],"&gt;5000000",Table1[FLOAT],"&lt;=10000000"),""),0)</f>
        <v/>
      </c>
      <c r="T36" s="162">
        <f>IFERROR(IF(COUNTIFS(Table1[MARKET CAP],"&gt;1000000000",Table1[FLOAT],"&gt;10000000",Table1[FLOAT],"&lt;=20000000")&gt;=10,AVERAGEIFS(Table1[POINTS G/L],Table1[MARKET CAP],"&gt;1000000000",Table1[FLOAT],"&gt;10000000",Table1[FLOAT],"&lt;=20000000"),""),0)</f>
        <v/>
      </c>
      <c r="U36" s="162">
        <f>IFERROR(IF(COUNTIFS(Table1[MARKET CAP],"&gt;1000000000",Table1[FLOAT],"&gt;20000000",Table1[FLOAT],"&lt;=50000000")&gt;=10,AVERAGEIFS(Table1[POINTS G/L],Table1[MARKET CAP],"&gt;1000000000",Table1[FLOAT],"&gt;20000000",Table1[FLOAT],"&lt;=50000000"),""),0)</f>
        <v/>
      </c>
      <c r="V36" s="162">
        <f>IFERROR(IF(COUNTIFS(Table1[MARKET CAP],"&gt;1000000000",Table1[FLOAT],"&gt;50000000",Table1[FLOAT],"&lt;=100000000")&gt;=10,AVERAGEIFS(Table1[POINTS G/L],Table1[MARKET CAP],"&gt;1000000000",Table1[FLOAT],"&gt;50000000",Table1[FLOAT],"&lt;=100000000"),""),0)</f>
        <v/>
      </c>
      <c r="W36" s="176">
        <f>IFERROR(IF(COUNTIFS(Table1[MARKET CAP],"&gt;1000000000",Table1[FLOAT],"&gt;100000000")&gt;=10,AVERAGEIFS(Table1[POINTS G/L],Table1[MARKET CAP],"&gt;1000000000",Table1[FLOAT],"&gt;100000000"),""),0)</f>
        <v/>
      </c>
    </row>
    <row r="37">
      <c r="B37" s="54" t="inlineStr">
        <is>
          <t>PM Points /s</t>
        </is>
      </c>
      <c r="C37" s="98">
        <f>SUMIFS(Table1[POINTS G/L],Table1[TIME],"&gt;="&amp;CALCS!A4,Table1[TIME],"&lt;"&amp;CALCS!A6)</f>
        <v/>
      </c>
      <c r="H37" s="108" t="n"/>
      <c r="K37" s="30" t="n"/>
    </row>
    <row r="38">
      <c r="B38" s="61" t="inlineStr">
        <is>
          <t>PM Win/Loss %</t>
        </is>
      </c>
      <c r="C38" s="100">
        <f>COUNTIF(Table1[POINTS G/L],"&gt;0")/COUNT(Table1[POINTS G/L])</f>
        <v/>
      </c>
      <c r="D38" s="88" t="n"/>
      <c r="E38" s="88" t="n"/>
      <c r="F38" s="88" t="n"/>
      <c r="G38" s="88" t="n"/>
      <c r="H38" s="89" t="n"/>
      <c r="J38" s="144" t="n"/>
      <c r="K38" s="30" t="n"/>
    </row>
    <row r="39">
      <c r="C39" s="101" t="n"/>
      <c r="D39" s="101" t="n"/>
      <c r="K39" s="30" t="n"/>
    </row>
    <row r="40">
      <c r="B40" s="86" t="inlineStr">
        <is>
          <t>SETUP RESULTS</t>
        </is>
      </c>
      <c r="C40" s="52" t="n"/>
      <c r="D40" s="52" t="n"/>
      <c r="E40" s="52" t="n"/>
      <c r="F40" s="52" t="n"/>
      <c r="G40" s="52" t="n"/>
      <c r="H40" s="53" t="n"/>
      <c r="I40" s="55" t="n"/>
    </row>
    <row r="41">
      <c r="B41" s="87" t="inlineStr">
        <is>
          <t>Setup</t>
        </is>
      </c>
      <c r="C41" s="87" t="inlineStr">
        <is>
          <t>Trades</t>
        </is>
      </c>
      <c r="D41" s="87" t="inlineStr">
        <is>
          <t>Trades %</t>
        </is>
      </c>
      <c r="E41" s="88" t="inlineStr">
        <is>
          <t>Win %</t>
        </is>
      </c>
      <c r="F41" s="88" t="inlineStr">
        <is>
          <t>Last 5 Wk</t>
        </is>
      </c>
      <c r="G41" s="88" t="inlineStr">
        <is>
          <t>Points G/L</t>
        </is>
      </c>
      <c r="H41" s="88" t="inlineStr">
        <is>
          <t>Entry %</t>
        </is>
      </c>
      <c r="I41" s="112" t="n"/>
    </row>
    <row r="42">
      <c r="B42" s="55" t="inlineStr">
        <is>
          <t>PMH</t>
        </is>
      </c>
      <c r="C42" s="91">
        <f>COUNTIF(Table1[SETUP],B42)</f>
        <v/>
      </c>
      <c r="D42" s="112">
        <f>SUM(COUNTIF(Table1[SETUP],B42)/COUNTA(Table1[SETUP]))</f>
        <v/>
      </c>
      <c r="E42" s="112">
        <f>SUM(COUNTIFS(Table1[SETUP],B42,Table1[POINTS G/L],"&gt;=0")/COUNTIF(Table1[SETUP],B42))</f>
        <v/>
      </c>
      <c r="F42" s="103">
        <f>IFERROR(COUNTIFS(Table1[SETUP],B42,Table1[POINTS G/L],"&gt;=0",Table1[WEEK],"&gt;="&amp;MAX(Table1[WEEK])-4)/COUNTIFS(Table1[SETUP],B42,Table1[WEEK],"&gt;="&amp;MAX(Table1[WEEK])-4),"")</f>
        <v/>
      </c>
      <c r="G42" s="104">
        <f>SUMIFS(Table1[POINTS G/L],Table1[SETUP],B42)</f>
        <v/>
      </c>
      <c r="H42" s="113">
        <f>COUNTIFS(Table1[ENTRY ATTEMPT],"=1",Table1[SETUP],B42)/COUNTIFS(Table1[ENTRY ATTEMPT],"&lt;&gt;",Table1[SETUP],B42)</f>
        <v/>
      </c>
      <c r="I42" s="112" t="n"/>
    </row>
    <row r="43">
      <c r="B43" s="55" t="inlineStr">
        <is>
          <t>PM Consolidation</t>
        </is>
      </c>
      <c r="C43" s="91">
        <f>COUNTIF(Table1[SETUP],B43)</f>
        <v/>
      </c>
      <c r="D43" s="112">
        <f>SUM(COUNTIF(Table1[SETUP],B43)/COUNTA(Table1[SETUP]))</f>
        <v/>
      </c>
      <c r="E43" s="106">
        <f>SUM(COUNTIFS(Table1[SETUP],B43,Table1[POINTS G/L],"&gt;=0")/COUNTIF(Table1[SETUP],B43))</f>
        <v/>
      </c>
      <c r="F43" s="103">
        <f>IFERROR(COUNTIFS(Table1[SETUP],B43,Table1[POINTS G/L],"&gt;=0",Table1[WEEK],"&gt;="&amp;MAX(Table1[WEEK])-4)/COUNTIFS(Table1[SETUP],B43,Table1[WEEK],"&gt;="&amp;MAX(Table1[WEEK])-4),"")</f>
        <v/>
      </c>
      <c r="G43" s="104">
        <f>SUMIFS(Table1[POINTS G/L],Table1[SETUP],B43)</f>
        <v/>
      </c>
      <c r="H43" s="113">
        <f>COUNTIFS(Table1[ENTRY ATTEMPT],"=1",Table1[SETUP],B43)/COUNTIFS(Table1[ENTRY ATTEMPT],"&lt;&gt;",Table1[SETUP],B43)</f>
        <v/>
      </c>
      <c r="I43" s="112" t="n"/>
    </row>
    <row r="44">
      <c r="B44" s="55" t="inlineStr">
        <is>
          <t>Pivot</t>
        </is>
      </c>
      <c r="C44" s="91">
        <f>COUNTIF(Table1[SETUP],B44)</f>
        <v/>
      </c>
      <c r="D44" s="112">
        <f>SUM(COUNTIF(Table1[SETUP],B44)/COUNTA(Table1[SETUP]))</f>
        <v/>
      </c>
      <c r="E44" s="112">
        <f>SUM(COUNTIFS(Table1[SETUP],B44,Table1[POINTS G/L],"&gt;=0")/COUNTIF(Table1[SETUP],B44))</f>
        <v/>
      </c>
      <c r="F44" s="103">
        <f>IFERROR(COUNTIFS(Table1[SETUP],B44,Table1[POINTS G/L],"&gt;=0",Table1[WEEK],"&gt;="&amp;MAX(Table1[WEEK])-4)/COUNTIFS(Table1[SETUP],B44,Table1[WEEK],"&gt;="&amp;MAX(Table1[WEEK])-4),"")</f>
        <v/>
      </c>
      <c r="G44" s="104">
        <f>SUMIFS(Table1[POINTS G/L],Table1[SETUP],B44)</f>
        <v/>
      </c>
      <c r="H44" s="113">
        <f>COUNTIFS(Table1[ENTRY ATTEMPT],"=1",Table1[SETUP],B44)/COUNTIFS(Table1[ENTRY ATTEMPT],"&lt;&gt;",Table1[SETUP],B44)</f>
        <v/>
      </c>
      <c r="I44" s="112" t="n"/>
    </row>
    <row r="45" ht="15" customHeight="1" s="107">
      <c r="B45" s="55" t="inlineStr">
        <is>
          <t>HOD</t>
        </is>
      </c>
      <c r="C45" s="91">
        <f>COUNTIF(Table1[SETUP],B45)</f>
        <v/>
      </c>
      <c r="D45" s="112">
        <f>SUM(COUNTIF(Table1[SETUP],B45)/COUNTA(Table1[SETUP]))</f>
        <v/>
      </c>
      <c r="E45" s="112">
        <f>SUM(COUNTIFS(Table1[SETUP],B45,Table1[POINTS G/L],"&gt;=0")/COUNTIF(Table1[SETUP],B45))</f>
        <v/>
      </c>
      <c r="F45" s="103">
        <f>IFERROR(COUNTIFS(Table1[SETUP],B45,Table1[POINTS G/L],"&gt;=0",Table1[WEEK],"&gt;="&amp;MAX(Table1[WEEK])-4)/COUNTIFS(Table1[SETUP],B45,Table1[WEEK],"&gt;="&amp;MAX(Table1[WEEK])-4),"")</f>
        <v/>
      </c>
      <c r="G45" s="104">
        <f>SUMIFS(Table1[POINTS G/L],Table1[SETUP],B45)</f>
        <v/>
      </c>
      <c r="H45" s="113">
        <f>COUNTIFS(Table1[ENTRY ATTEMPT],"=1",Table1[SETUP],B45)/COUNTIFS(Table1[ENTRY ATTEMPT],"&lt;&gt;",Table1[SETUP],B45)</f>
        <v/>
      </c>
      <c r="I45" s="112" t="n"/>
    </row>
    <row r="46">
      <c r="B46" s="55" t="inlineStr">
        <is>
          <t>R2G</t>
        </is>
      </c>
      <c r="C46" s="91">
        <f>COUNTIF(Table1[SETUP],B46)</f>
        <v/>
      </c>
      <c r="D46" s="112">
        <f>SUM(COUNTIF(Table1[SETUP],B46)/COUNTA(Table1[SETUP]))</f>
        <v/>
      </c>
      <c r="E46" s="112">
        <f>SUM(COUNTIFS(Table1[SETUP],B46,Table1[POINTS G/L],"&gt;=0")/COUNTIF(Table1[SETUP],B46))</f>
        <v/>
      </c>
      <c r="F46" s="103">
        <f>IFERROR(COUNTIFS(Table1[SETUP],B46,Table1[POINTS G/L],"&gt;=0",Table1[WEEK],"&gt;="&amp;MAX(Table1[WEEK])-4)/COUNTIFS(Table1[SETUP],B46,Table1[WEEK],"&gt;="&amp;MAX(Table1[WEEK])-4),"")</f>
        <v/>
      </c>
      <c r="G46" s="104">
        <f>SUMIFS(Table1[POINTS G/L],Table1[SETUP],B46)</f>
        <v/>
      </c>
      <c r="H46" s="113">
        <f>COUNTIFS(Table1[ENTRY ATTEMPT],"=1",Table1[SETUP],B46)/COUNTIFS(Table1[ENTRY ATTEMPT],"&lt;&gt;",Table1[SETUP],B46)</f>
        <v/>
      </c>
      <c r="I46" s="112" t="n"/>
    </row>
    <row r="47">
      <c r="B47" s="55" t="inlineStr">
        <is>
          <t>Daily</t>
        </is>
      </c>
      <c r="C47" s="91">
        <f>COUNTIF(Table1[SETUP],B47)</f>
        <v/>
      </c>
      <c r="D47" s="112">
        <f>SUM(COUNTIF(Table1[SETUP],B47)/COUNTA(Table1[SETUP]))</f>
        <v/>
      </c>
      <c r="E47" s="112">
        <f>SUM(COUNTIFS(Table1[SETUP],B47,Table1[POINTS G/L],"&gt;=0")/COUNTIF(Table1[SETUP],B47))</f>
        <v/>
      </c>
      <c r="F47" s="103">
        <f>IFERROR(COUNTIFS(Table1[SETUP],B47,Table1[POINTS G/L],"&gt;=0",Table1[WEEK],"&gt;="&amp;MAX(Table1[WEEK])-4)/COUNTIFS(Table1[SETUP],B47,Table1[WEEK],"&gt;="&amp;MAX(Table1[WEEK])-4),"")</f>
        <v/>
      </c>
      <c r="G47" s="104">
        <f>SUMIFS(Table1[POINTS G/L],Table1[SETUP],B47)</f>
        <v/>
      </c>
      <c r="H47" s="113">
        <f>COUNTIFS(Table1[ENTRY ATTEMPT],"=1",Table1[SETUP],B47)/COUNTIFS(Table1[ENTRY ATTEMPT],"&lt;&gt;",Table1[SETUP],B47)</f>
        <v/>
      </c>
      <c r="I47" s="112" t="n"/>
    </row>
    <row r="48">
      <c r="B48" s="55" t="inlineStr">
        <is>
          <t>Consolidation</t>
        </is>
      </c>
      <c r="C48" s="91">
        <f>COUNTIF(Table1[SETUP],B48)</f>
        <v/>
      </c>
      <c r="D48" s="112">
        <f>SUM(COUNTIF(Table1[SETUP],B48)/COUNTA(Table1[SETUP]))</f>
        <v/>
      </c>
      <c r="E48" s="112">
        <f>SUM(COUNTIFS(Table1[SETUP],B48,Table1[POINTS G/L],"&gt;=0")/COUNTIF(Table1[SETUP],B48))</f>
        <v/>
      </c>
      <c r="F48" s="103">
        <f>IFERROR(COUNTIFS(Table1[SETUP],B48,Table1[POINTS G/L],"&gt;=0",Table1[WEEK],"&gt;="&amp;MAX(Table1[WEEK])-4)/COUNTIFS(Table1[SETUP],B48,Table1[WEEK],"&gt;="&amp;MAX(Table1[WEEK])-4),"")</f>
        <v/>
      </c>
      <c r="G48" s="104">
        <f>SUMIFS(Table1[POINTS G/L],Table1[SETUP],B48)</f>
        <v/>
      </c>
      <c r="H48" s="113">
        <f>COUNTIFS(Table1[ENTRY ATTEMPT],"=1",Table1[SETUP],B48)/COUNTIFS(Table1[ENTRY ATTEMPT],"&lt;&gt;",Table1[SETUP],B48)</f>
        <v/>
      </c>
      <c r="I48" s="112" t="n"/>
      <c r="J48" s="55" t="n"/>
    </row>
    <row r="49">
      <c r="I49" s="112" t="n"/>
    </row>
    <row r="50" ht="15" customHeight="1" s="107">
      <c r="B50" s="86" t="inlineStr">
        <is>
          <t>MAX GAIN</t>
        </is>
      </c>
      <c r="C50" s="52" t="n"/>
      <c r="D50" s="52" t="n"/>
      <c r="E50" s="52" t="n"/>
      <c r="F50" s="52" t="n"/>
      <c r="G50" s="52" t="n"/>
      <c r="H50" s="53" t="n"/>
    </row>
    <row r="51" ht="15" customHeight="1" s="107">
      <c r="B51" s="54" t="n"/>
      <c r="C51" s="87" t="inlineStr">
        <is>
          <t>Ave</t>
        </is>
      </c>
      <c r="D51" s="87" t="inlineStr">
        <is>
          <t>Mean 20%</t>
        </is>
      </c>
      <c r="H51" s="108" t="n"/>
    </row>
    <row r="52">
      <c r="B52" s="54" t="inlineStr">
        <is>
          <t>Entry-High</t>
        </is>
      </c>
      <c r="C52" s="112">
        <f>(AVERAGE(Table1[HIGH])-AVERAGE(Table1[ENTRY]))/AVERAGE(Table1[ENTRY])</f>
        <v/>
      </c>
      <c r="D52" s="113">
        <f>(TRIMMEAN(Table1[HIGH],10%)-TRIMMEAN(Table1[ENTRY],20%))/TRIMMEAN(Table1[ENTRY],20%)</f>
        <v/>
      </c>
      <c r="H52" s="108" t="n"/>
      <c r="I52" s="55" t="n"/>
    </row>
    <row r="53">
      <c r="B53" s="54" t="inlineStr">
        <is>
          <t>High-Exit</t>
        </is>
      </c>
      <c r="C53" s="112">
        <f>(AVERAGE(Table1[HIGH])-AVERAGE(Table1[EXIT]))/AVERAGE(Table1[EXIT])</f>
        <v/>
      </c>
      <c r="D53" s="113">
        <f>(TRIMMEAN(Table1[HIGH],10%)-TRIMMEAN(Table1[EXIT],20%))/TRIMMEAN(Table1[EXIT],20%)</f>
        <v/>
      </c>
      <c r="H53" s="108" t="n"/>
    </row>
    <row r="54">
      <c r="B54" s="54" t="n"/>
      <c r="C54" s="112" t="n"/>
      <c r="D54" s="113" t="n"/>
      <c r="H54" s="108" t="n"/>
    </row>
    <row r="55">
      <c r="B55" s="54" t="n"/>
      <c r="C55" s="87" t="n"/>
      <c r="D55" s="87" t="n"/>
      <c r="E55" s="87" t="inlineStr">
        <is>
          <t>&gt; 1 pt</t>
        </is>
      </c>
      <c r="F55" s="88" t="inlineStr">
        <is>
          <t>&gt; 2 pt</t>
        </is>
      </c>
      <c r="G55" s="88" t="inlineStr">
        <is>
          <t>&gt; 3 pt</t>
        </is>
      </c>
      <c r="H55" s="89" t="inlineStr">
        <is>
          <t>&gt; 4 pt</t>
        </is>
      </c>
    </row>
    <row r="56">
      <c r="B56" s="54" t="inlineStr">
        <is>
          <t>Trades</t>
        </is>
      </c>
      <c r="C56" s="112" t="n"/>
      <c r="E56" s="98">
        <f>COUNTIF(Table1[MAX GAIN],"&gt;=1")</f>
        <v/>
      </c>
      <c r="F56" s="98">
        <f>COUNTIF(Table1[MAX GAIN],"&gt;=2")</f>
        <v/>
      </c>
      <c r="G56" s="98">
        <f>COUNTIF(Table1[MAX GAIN],"&gt;=3")</f>
        <v/>
      </c>
      <c r="H56" s="109">
        <f>COUNTIF(Table1[MAX GAIN],"&gt;=4")</f>
        <v/>
      </c>
    </row>
    <row r="57">
      <c r="B57" s="61" t="inlineStr">
        <is>
          <t>% of All</t>
        </is>
      </c>
      <c r="C57" s="110" t="n"/>
      <c r="D57" s="88" t="n"/>
      <c r="E57" s="100">
        <f>E56/$C$27</f>
        <v/>
      </c>
      <c r="F57" s="100">
        <f>F56/$C$27</f>
        <v/>
      </c>
      <c r="G57" s="100">
        <f>G56/$C$27</f>
        <v/>
      </c>
      <c r="H57" s="111">
        <f>H56/$C$27</f>
        <v/>
      </c>
    </row>
    <row r="58">
      <c r="C58" s="112" t="n"/>
      <c r="D58" s="113" t="n"/>
    </row>
    <row r="59">
      <c r="B59" s="86" t="inlineStr">
        <is>
          <t>ENTRY TIMES</t>
        </is>
      </c>
      <c r="C59" s="52" t="n"/>
      <c r="D59" s="52" t="n"/>
      <c r="E59" s="52" t="n"/>
      <c r="F59" s="52" t="n"/>
      <c r="G59" s="52" t="n"/>
      <c r="H59" s="53" t="n"/>
    </row>
    <row r="60">
      <c r="B60" s="54" t="n"/>
      <c r="C60" s="87" t="inlineStr">
        <is>
          <t>Trades</t>
        </is>
      </c>
      <c r="D60" s="87" t="inlineStr">
        <is>
          <t>Trades %</t>
        </is>
      </c>
      <c r="E60" s="88" t="inlineStr">
        <is>
          <t>Ave</t>
        </is>
      </c>
      <c r="H60" s="108" t="n"/>
    </row>
    <row r="61">
      <c r="B61" s="187" t="inlineStr">
        <is>
          <t>8:30-8:59</t>
        </is>
      </c>
      <c r="C61" s="92">
        <f>CALCS!D4</f>
        <v/>
      </c>
      <c r="D61" s="112">
        <f>CALCS!F4</f>
        <v/>
      </c>
      <c r="E61" s="188">
        <f>CALCS!E4</f>
        <v/>
      </c>
      <c r="H61" s="108" t="n"/>
    </row>
    <row r="62">
      <c r="B62" s="187" t="inlineStr">
        <is>
          <t>9:00-9:29</t>
        </is>
      </c>
      <c r="C62" s="92">
        <f>CALCS!D5</f>
        <v/>
      </c>
      <c r="D62" s="112">
        <f>CALCS!F5</f>
        <v/>
      </c>
      <c r="E62" s="188">
        <f>CALCS!E5</f>
        <v/>
      </c>
      <c r="H62" s="108" t="n"/>
    </row>
    <row r="63">
      <c r="B63" s="187" t="inlineStr">
        <is>
          <t>9:30-9:49</t>
        </is>
      </c>
      <c r="C63" s="92">
        <f>CALCS!D6</f>
        <v/>
      </c>
      <c r="D63" s="112">
        <f>CALCS!F6</f>
        <v/>
      </c>
      <c r="E63" s="188">
        <f>CALCS!E6</f>
        <v/>
      </c>
      <c r="H63" s="108" t="n"/>
    </row>
    <row r="64">
      <c r="B64" s="187" t="inlineStr">
        <is>
          <t>9:50-10:29</t>
        </is>
      </c>
      <c r="C64" s="92">
        <f>CALCS!D7</f>
        <v/>
      </c>
      <c r="D64" s="112">
        <f>CALCS!F7</f>
        <v/>
      </c>
      <c r="E64" s="188">
        <f>CALCS!E7</f>
        <v/>
      </c>
      <c r="H64" s="108" t="n"/>
    </row>
    <row r="65">
      <c r="B65" s="187" t="inlineStr">
        <is>
          <t>10:30-11:29</t>
        </is>
      </c>
      <c r="C65" s="92">
        <f>CALCS!D8</f>
        <v/>
      </c>
      <c r="D65" s="112">
        <f>CALCS!F8</f>
        <v/>
      </c>
      <c r="E65" s="188">
        <f>CALCS!E8</f>
        <v/>
      </c>
      <c r="H65" s="108" t="n"/>
    </row>
    <row r="66">
      <c r="B66" s="189" t="inlineStr">
        <is>
          <t>11:30-15:59</t>
        </is>
      </c>
      <c r="C66" s="185">
        <f>CALCS!D9</f>
        <v/>
      </c>
      <c r="D66" s="110">
        <f>CALCS!F9</f>
        <v/>
      </c>
      <c r="E66" s="190">
        <f>CALCS!E9</f>
        <v/>
      </c>
      <c r="F66" s="88" t="n"/>
      <c r="G66" s="88" t="n"/>
      <c r="H66" s="89" t="n"/>
    </row>
    <row r="67">
      <c r="D67" s="124" t="n"/>
    </row>
  </sheetData>
  <dataValidations count="1">
    <dataValidation sqref="G21" showDropDown="0" showInputMessage="1" showErrorMessage="1" allowBlank="1" type="decimal" operator="lessThan">
      <formula1>3</formula1>
    </dataValidation>
  </dataValidations>
  <pageMargins left="0.7" right="0.7" top="0.75" bottom="0.75" header="0.3" footer="0.3"/>
  <pageSetup orientation="portrait" paperSize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37"/>
  <sheetViews>
    <sheetView topLeftCell="A2" workbookViewId="0">
      <selection activeCell="H26" sqref="H26"/>
    </sheetView>
  </sheetViews>
  <sheetFormatPr baseColWidth="8" defaultColWidth="9" defaultRowHeight="14"/>
  <cols>
    <col width="4.28333333333333" customWidth="1" style="107" min="1" max="1"/>
    <col width="14" customWidth="1" style="107" min="2" max="6"/>
    <col width="4.28333333333333" customWidth="1" style="107" min="7" max="7"/>
    <col width="14" customWidth="1" style="107" min="8" max="12"/>
    <col width="4.28333333333333" customWidth="1" style="107" min="13" max="13"/>
    <col width="14" customWidth="1" style="107" min="14" max="18"/>
    <col width="9.141666666666669" customWidth="1" style="107" min="19" max="16384"/>
  </cols>
  <sheetData>
    <row r="1">
      <c r="N1" t="inlineStr">
        <is>
          <t>`</t>
        </is>
      </c>
    </row>
    <row r="11">
      <c r="B11" s="42" t="inlineStr">
        <is>
          <t>2021-JULY</t>
        </is>
      </c>
      <c r="C11" s="42" t="inlineStr">
        <is>
          <t>WIN %</t>
        </is>
      </c>
      <c r="D11" s="42" t="inlineStr">
        <is>
          <t>POINTS (NET)</t>
        </is>
      </c>
      <c r="E11" s="42" t="n"/>
      <c r="F11" s="42" t="n"/>
      <c r="H11" s="42" t="inlineStr">
        <is>
          <t>2021-AUG</t>
        </is>
      </c>
      <c r="I11" s="42" t="inlineStr">
        <is>
          <t>WIN %</t>
        </is>
      </c>
      <c r="J11" s="42" t="inlineStr">
        <is>
          <t>POINTS (NET)</t>
        </is>
      </c>
      <c r="K11" s="42" t="n"/>
      <c r="L11" s="42" t="n"/>
      <c r="N11" s="42" t="inlineStr">
        <is>
          <t>2021-SEPT</t>
        </is>
      </c>
      <c r="O11" s="42" t="inlineStr">
        <is>
          <t>WIN %</t>
        </is>
      </c>
      <c r="P11" s="42" t="inlineStr">
        <is>
          <t>POINTS (NET)</t>
        </is>
      </c>
      <c r="Q11" s="42" t="n"/>
      <c r="R11" s="42" t="n"/>
    </row>
    <row r="12" ht="22.5" customHeight="1" s="107">
      <c r="B12" s="191" t="n"/>
      <c r="C12" s="44">
        <f>17/21</f>
        <v/>
      </c>
      <c r="D12" s="45">
        <f>SUM(B15:F15,B17:F17,B19:F19,B21:F21,B23:F23)</f>
        <v/>
      </c>
      <c r="E12" s="46" t="n"/>
      <c r="F12" s="46" t="n"/>
      <c r="H12" s="191" t="n"/>
      <c r="I12" s="44">
        <f>20/22</f>
        <v/>
      </c>
      <c r="J12" s="45">
        <f>SUM(H15:L15,H17:L17,H19:L19,H21:L21,H23:L23)</f>
        <v/>
      </c>
      <c r="K12" s="46" t="n"/>
      <c r="L12" s="46" t="n"/>
      <c r="N12" s="191" t="n"/>
      <c r="O12" s="44">
        <f>14/21</f>
        <v/>
      </c>
      <c r="P12" s="45">
        <f>SUM(N15:R15,N17:R17,N19:R19,N21:R21,N23:R23)</f>
        <v/>
      </c>
      <c r="Q12" s="46" t="n"/>
      <c r="R12" s="46" t="n"/>
    </row>
    <row r="13">
      <c r="B13" s="47" t="inlineStr">
        <is>
          <t>MON</t>
        </is>
      </c>
      <c r="C13" s="47" t="inlineStr">
        <is>
          <t>TUES</t>
        </is>
      </c>
      <c r="D13" s="47" t="inlineStr">
        <is>
          <t>WED</t>
        </is>
      </c>
      <c r="E13" s="47" t="inlineStr">
        <is>
          <t>THUR</t>
        </is>
      </c>
      <c r="F13" s="47" t="inlineStr">
        <is>
          <t>FRI</t>
        </is>
      </c>
      <c r="H13" s="47" t="inlineStr">
        <is>
          <t>MON</t>
        </is>
      </c>
      <c r="I13" s="47" t="inlineStr">
        <is>
          <t>TUES</t>
        </is>
      </c>
      <c r="J13" s="47" t="inlineStr">
        <is>
          <t>WED</t>
        </is>
      </c>
      <c r="K13" s="47" t="inlineStr">
        <is>
          <t>THUR</t>
        </is>
      </c>
      <c r="L13" s="47" t="inlineStr">
        <is>
          <t>FRI</t>
        </is>
      </c>
      <c r="N13" s="47" t="inlineStr">
        <is>
          <t>MON</t>
        </is>
      </c>
      <c r="O13" s="47" t="inlineStr">
        <is>
          <t>TUES</t>
        </is>
      </c>
      <c r="P13" s="47" t="inlineStr">
        <is>
          <t>WED</t>
        </is>
      </c>
      <c r="Q13" s="47" t="inlineStr">
        <is>
          <t>THUR</t>
        </is>
      </c>
      <c r="R13" s="47" t="inlineStr">
        <is>
          <t>FRI</t>
        </is>
      </c>
    </row>
    <row r="14">
      <c r="B14" s="48" t="n"/>
      <c r="C14" s="48" t="n"/>
      <c r="D14" s="48" t="n"/>
      <c r="E14" s="48" t="n">
        <v>1</v>
      </c>
      <c r="F14" s="48" t="n">
        <v>2</v>
      </c>
      <c r="H14" s="48" t="n">
        <v>2</v>
      </c>
      <c r="I14" s="48" t="n">
        <v>3</v>
      </c>
      <c r="J14" s="48" t="n">
        <v>4</v>
      </c>
      <c r="K14" s="48" t="n">
        <v>5</v>
      </c>
      <c r="L14" s="48" t="n">
        <v>6</v>
      </c>
      <c r="N14" s="48" t="n"/>
      <c r="O14" s="48" t="n"/>
      <c r="P14" s="48" t="n">
        <v>1</v>
      </c>
      <c r="Q14" s="48" t="n">
        <v>2</v>
      </c>
      <c r="R14" s="48" t="n">
        <v>3</v>
      </c>
    </row>
    <row r="15" ht="22.5" customHeight="1" s="107">
      <c r="B15" s="49" t="n"/>
      <c r="C15" s="49" t="n"/>
      <c r="D15" s="49" t="n"/>
      <c r="E15" s="49" t="n">
        <v>4.52</v>
      </c>
      <c r="F15" s="49" t="n">
        <v>1.48</v>
      </c>
      <c r="H15" s="49" t="n">
        <v>0.97</v>
      </c>
      <c r="I15" s="49" t="n">
        <v>1.17</v>
      </c>
      <c r="J15" s="49" t="n">
        <v>30.09</v>
      </c>
      <c r="K15" s="49" t="n">
        <v>0.6899999999999999</v>
      </c>
      <c r="L15" s="49" t="n">
        <v>8.58</v>
      </c>
      <c r="N15" s="49" t="n"/>
      <c r="O15" s="49" t="n"/>
      <c r="P15" s="49" t="n">
        <v>10.25</v>
      </c>
      <c r="Q15" s="49" t="n">
        <v>-0.29</v>
      </c>
      <c r="R15" s="49" t="n">
        <v>0</v>
      </c>
    </row>
    <row r="16">
      <c r="B16" s="48" t="n">
        <v>5</v>
      </c>
      <c r="C16" s="48" t="n">
        <v>6</v>
      </c>
      <c r="D16" s="48" t="n">
        <v>7</v>
      </c>
      <c r="E16" s="48" t="n">
        <v>8</v>
      </c>
      <c r="F16" s="48" t="n">
        <v>9</v>
      </c>
      <c r="H16" s="48" t="n">
        <v>9</v>
      </c>
      <c r="I16" s="48" t="n">
        <v>10</v>
      </c>
      <c r="J16" s="48" t="n">
        <v>11</v>
      </c>
      <c r="K16" s="48" t="n">
        <v>12</v>
      </c>
      <c r="L16" s="48" t="n">
        <v>13</v>
      </c>
      <c r="N16" s="48" t="n">
        <v>6</v>
      </c>
      <c r="O16" s="48" t="n">
        <v>7</v>
      </c>
      <c r="P16" s="48" t="n">
        <v>8</v>
      </c>
      <c r="Q16" s="48" t="n">
        <v>9</v>
      </c>
      <c r="R16" s="48" t="n">
        <v>10</v>
      </c>
    </row>
    <row r="17" ht="22.5" customHeight="1" s="107">
      <c r="B17" s="49" t="inlineStr">
        <is>
          <t>HOLIDAY</t>
        </is>
      </c>
      <c r="C17" s="49" t="n">
        <v>-0.6</v>
      </c>
      <c r="D17" s="49" t="n">
        <v>26.35</v>
      </c>
      <c r="E17" s="49" t="n">
        <v>5.81</v>
      </c>
      <c r="F17" s="49" t="n">
        <v>6.18</v>
      </c>
      <c r="H17" s="49" t="n">
        <v>0.13</v>
      </c>
      <c r="I17" s="49" t="n">
        <v>16.29</v>
      </c>
      <c r="J17" s="49" t="n">
        <v>3.7</v>
      </c>
      <c r="K17" s="49" t="n">
        <v>4.61</v>
      </c>
      <c r="L17" s="49" t="n">
        <v>0.92</v>
      </c>
      <c r="N17" s="49" t="inlineStr">
        <is>
          <t>HOLIDAY</t>
        </is>
      </c>
      <c r="O17" s="49" t="n">
        <v>-0.1</v>
      </c>
      <c r="P17" s="49" t="n">
        <v>-0.32</v>
      </c>
      <c r="Q17" s="49" t="n">
        <v>10.73</v>
      </c>
      <c r="R17" s="49" t="n">
        <v>3.18</v>
      </c>
    </row>
    <row r="18">
      <c r="B18" s="48" t="n">
        <v>12</v>
      </c>
      <c r="C18" s="48" t="n">
        <v>13</v>
      </c>
      <c r="D18" s="48" t="n">
        <v>14</v>
      </c>
      <c r="E18" s="48" t="n">
        <v>15</v>
      </c>
      <c r="F18" s="48" t="n">
        <v>16</v>
      </c>
      <c r="H18" s="48" t="n">
        <v>16</v>
      </c>
      <c r="I18" s="48" t="n">
        <v>17</v>
      </c>
      <c r="J18" s="48" t="n">
        <v>18</v>
      </c>
      <c r="K18" s="48" t="n">
        <v>19</v>
      </c>
      <c r="L18" s="48" t="n">
        <v>20</v>
      </c>
      <c r="N18" s="48" t="n">
        <v>13</v>
      </c>
      <c r="O18" s="48" t="n">
        <v>14</v>
      </c>
      <c r="P18" s="48" t="n">
        <v>15</v>
      </c>
      <c r="Q18" s="48" t="n">
        <v>16</v>
      </c>
      <c r="R18" s="48" t="n">
        <v>17</v>
      </c>
    </row>
    <row r="19" ht="22.5" customHeight="1" s="107">
      <c r="B19" s="49" t="n">
        <v>11.15</v>
      </c>
      <c r="C19" s="49" t="n">
        <v>5.22</v>
      </c>
      <c r="D19" s="49" t="n">
        <v>4.14</v>
      </c>
      <c r="E19" s="49" t="n">
        <v>2.55</v>
      </c>
      <c r="F19" s="49" t="n">
        <v>0.37</v>
      </c>
      <c r="H19" s="49" t="n">
        <v>1.73</v>
      </c>
      <c r="I19" s="49" t="n">
        <v>8.32</v>
      </c>
      <c r="J19" s="49" t="n">
        <v>1.61</v>
      </c>
      <c r="K19" s="49" t="n">
        <v>-0.49</v>
      </c>
      <c r="L19" s="49" t="n">
        <v>0.63</v>
      </c>
      <c r="N19" s="49" t="n">
        <v>7.19</v>
      </c>
      <c r="O19" s="49" t="n">
        <v>1.9</v>
      </c>
      <c r="P19" s="49" t="n">
        <v>10.28</v>
      </c>
      <c r="Q19" s="49" t="n">
        <v>7.5</v>
      </c>
      <c r="R19" s="49" t="n">
        <v>14.16</v>
      </c>
    </row>
    <row r="20">
      <c r="B20" s="48" t="n">
        <v>19</v>
      </c>
      <c r="C20" s="48" t="n">
        <v>20</v>
      </c>
      <c r="D20" s="48" t="n">
        <v>21</v>
      </c>
      <c r="E20" s="48" t="n">
        <v>22</v>
      </c>
      <c r="F20" s="48" t="n">
        <v>23</v>
      </c>
      <c r="H20" s="48" t="n">
        <v>23</v>
      </c>
      <c r="I20" s="48" t="n">
        <v>24</v>
      </c>
      <c r="J20" s="48" t="n">
        <v>25</v>
      </c>
      <c r="K20" s="48" t="n">
        <v>26</v>
      </c>
      <c r="L20" s="48" t="n">
        <v>27</v>
      </c>
      <c r="N20" s="48" t="n">
        <v>20</v>
      </c>
      <c r="O20" s="48" t="n">
        <v>21</v>
      </c>
      <c r="P20" s="48" t="n">
        <v>22</v>
      </c>
      <c r="Q20" s="48" t="n">
        <v>23</v>
      </c>
      <c r="R20" s="48" t="n">
        <v>24</v>
      </c>
    </row>
    <row r="21" ht="22.5" customHeight="1" s="107">
      <c r="B21" s="49" t="n">
        <v>-0.73</v>
      </c>
      <c r="C21" s="49" t="n">
        <v>3.85</v>
      </c>
      <c r="D21" s="49" t="n">
        <v>24.44</v>
      </c>
      <c r="E21" s="49" t="n">
        <v>17.1</v>
      </c>
      <c r="F21" s="49" t="n">
        <v>-0.04</v>
      </c>
      <c r="H21" s="49" t="n">
        <v>-0.38</v>
      </c>
      <c r="I21" s="49" t="n">
        <v>3.67</v>
      </c>
      <c r="J21" s="49" t="n">
        <v>36.91</v>
      </c>
      <c r="K21" s="49" t="n">
        <v>2.27</v>
      </c>
      <c r="L21" s="49" t="n">
        <v>4.17</v>
      </c>
      <c r="N21" s="49" t="n">
        <v>-0.35</v>
      </c>
      <c r="O21" s="49" t="n">
        <v>4.37</v>
      </c>
      <c r="P21" s="49" t="n">
        <v>-0.04</v>
      </c>
      <c r="Q21" s="49" t="n">
        <v>0.2</v>
      </c>
      <c r="R21" s="49" t="n">
        <v>3.06</v>
      </c>
    </row>
    <row r="22">
      <c r="B22" s="48" t="n">
        <v>26</v>
      </c>
      <c r="C22" s="48" t="n">
        <v>27</v>
      </c>
      <c r="D22" s="48" t="n">
        <v>28</v>
      </c>
      <c r="E22" s="48" t="n">
        <v>29</v>
      </c>
      <c r="F22" s="48" t="n">
        <v>30</v>
      </c>
      <c r="H22" s="48" t="n">
        <v>30</v>
      </c>
      <c r="I22" s="48" t="n">
        <v>31</v>
      </c>
      <c r="J22" s="48" t="n"/>
      <c r="K22" s="48" t="n"/>
      <c r="L22" s="48" t="n"/>
      <c r="N22" s="48" t="n">
        <v>27</v>
      </c>
      <c r="O22" s="48" t="n">
        <v>28</v>
      </c>
      <c r="P22" s="48" t="n">
        <v>29</v>
      </c>
      <c r="Q22" s="48" t="n">
        <v>30</v>
      </c>
      <c r="R22" s="48" t="n"/>
    </row>
    <row r="23" ht="22.5" customHeight="1" s="107">
      <c r="B23" s="49" t="n">
        <v>-0.11</v>
      </c>
      <c r="C23" s="49" t="n">
        <v>0.47</v>
      </c>
      <c r="D23" s="49" t="n">
        <v>3.05</v>
      </c>
      <c r="E23" s="49" t="n">
        <v>0.51</v>
      </c>
      <c r="F23" s="49" t="n">
        <v>1.58</v>
      </c>
      <c r="H23" s="49" t="n">
        <v>4.35</v>
      </c>
      <c r="I23" s="49" t="n">
        <v>0.36</v>
      </c>
      <c r="J23" s="49" t="n"/>
      <c r="K23" s="49" t="n"/>
      <c r="L23" s="49" t="n"/>
      <c r="N23" s="49" t="n">
        <v>-0.24</v>
      </c>
      <c r="O23" s="49" t="n">
        <v>3.17</v>
      </c>
      <c r="P23" s="49" t="n">
        <v>8.99</v>
      </c>
      <c r="Q23" s="49" t="n">
        <v>-0.47</v>
      </c>
      <c r="R23" s="49" t="n"/>
    </row>
    <row r="25">
      <c r="B25" s="42" t="inlineStr">
        <is>
          <t>2021-OCT</t>
        </is>
      </c>
      <c r="C25" s="42" t="inlineStr">
        <is>
          <t>WIN %</t>
        </is>
      </c>
      <c r="D25" s="42" t="inlineStr">
        <is>
          <t>POINTS (NET)</t>
        </is>
      </c>
      <c r="E25" s="42" t="n"/>
      <c r="F25" s="42" t="n"/>
    </row>
    <row r="26" ht="22.5" customHeight="1" s="107">
      <c r="B26" s="191" t="n"/>
      <c r="C26" s="44" t="n"/>
      <c r="D26" s="45">
        <f>SUM(B29:F29,B31:F31,B33:F33,B35:F35,B37:F37)</f>
        <v/>
      </c>
      <c r="E26" s="46" t="n"/>
      <c r="F26" s="46" t="n"/>
    </row>
    <row r="27">
      <c r="B27" s="47" t="inlineStr">
        <is>
          <t>MON</t>
        </is>
      </c>
      <c r="C27" s="47" t="inlineStr">
        <is>
          <t>TUES</t>
        </is>
      </c>
      <c r="D27" s="47" t="inlineStr">
        <is>
          <t>WED</t>
        </is>
      </c>
      <c r="E27" s="47" t="inlineStr">
        <is>
          <t>THUR</t>
        </is>
      </c>
      <c r="F27" s="47" t="inlineStr">
        <is>
          <t>FRI</t>
        </is>
      </c>
    </row>
    <row r="28">
      <c r="B28" s="48" t="n"/>
      <c r="C28" s="48" t="n"/>
      <c r="D28" s="48" t="n"/>
      <c r="E28" s="48" t="n"/>
      <c r="F28" s="48" t="n">
        <v>1</v>
      </c>
    </row>
    <row r="29" ht="22.5" customHeight="1" s="107">
      <c r="B29" s="49" t="n"/>
      <c r="C29" s="49" t="n"/>
      <c r="D29" s="49" t="n"/>
      <c r="E29" s="49" t="n"/>
      <c r="F29" s="49" t="n">
        <v>-0.31</v>
      </c>
    </row>
    <row r="30">
      <c r="B30" s="48" t="n">
        <v>4</v>
      </c>
      <c r="C30" s="48" t="n">
        <v>5</v>
      </c>
      <c r="D30" s="48" t="n">
        <v>6</v>
      </c>
      <c r="E30" s="48" t="n">
        <v>7</v>
      </c>
      <c r="F30" s="48" t="n">
        <v>8</v>
      </c>
    </row>
    <row r="31" ht="22.5" customHeight="1" s="107">
      <c r="B31" s="49" t="n">
        <v>1.75</v>
      </c>
      <c r="C31" s="49" t="n">
        <v>2.23</v>
      </c>
      <c r="D31" s="49" t="n">
        <v>-0.17</v>
      </c>
      <c r="E31" s="49" t="n">
        <v>1.6</v>
      </c>
      <c r="F31" s="49" t="n"/>
    </row>
    <row r="32">
      <c r="B32" s="48" t="n">
        <v>11</v>
      </c>
      <c r="C32" s="48" t="n">
        <v>12</v>
      </c>
      <c r="D32" s="48" t="n">
        <v>13</v>
      </c>
      <c r="E32" s="48" t="n">
        <v>14</v>
      </c>
      <c r="F32" s="48" t="n">
        <v>15</v>
      </c>
    </row>
    <row r="33" ht="22.5" customHeight="1" s="107">
      <c r="B33" s="49" t="n"/>
      <c r="C33" s="49" t="n"/>
      <c r="D33" s="49" t="n"/>
      <c r="E33" s="49" t="n"/>
      <c r="F33" s="49" t="n"/>
    </row>
    <row r="34">
      <c r="B34" s="48" t="n">
        <v>18</v>
      </c>
      <c r="C34" s="48" t="n">
        <v>19</v>
      </c>
      <c r="D34" s="48" t="n">
        <v>20</v>
      </c>
      <c r="E34" s="48" t="n">
        <v>21</v>
      </c>
      <c r="F34" s="48" t="n">
        <v>22</v>
      </c>
    </row>
    <row r="35" ht="22.5" customHeight="1" s="107">
      <c r="B35" s="49" t="n"/>
      <c r="C35" s="49" t="n"/>
      <c r="D35" s="49" t="n"/>
      <c r="E35" s="49" t="n"/>
      <c r="F35" s="49" t="n"/>
    </row>
    <row r="36">
      <c r="B36" s="48" t="n">
        <v>25</v>
      </c>
      <c r="C36" s="48" t="n">
        <v>26</v>
      </c>
      <c r="D36" s="48" t="n">
        <v>27</v>
      </c>
      <c r="E36" s="48" t="n">
        <v>28</v>
      </c>
      <c r="F36" s="48" t="n">
        <v>29</v>
      </c>
    </row>
    <row r="37" ht="22.5" customHeight="1" s="107">
      <c r="B37" s="49" t="n"/>
      <c r="C37" s="49" t="n"/>
      <c r="D37" s="49" t="n"/>
      <c r="E37" s="49" t="n"/>
      <c r="F37" s="49" t="n"/>
    </row>
    <row r="40" ht="22.5" customHeight="1" s="107"/>
    <row r="43" ht="22.5" customHeight="1" s="107"/>
    <row r="45" ht="22.5" customHeight="1" s="107"/>
    <row r="47" ht="22.5" customHeight="1" s="107"/>
    <row r="49" ht="22.5" customHeight="1" s="107"/>
    <row r="51" ht="22.5" customHeight="1" s="107"/>
  </sheetData>
  <mergeCells count="4">
    <mergeCell ref="B11:B12"/>
    <mergeCell ref="H11:H12"/>
    <mergeCell ref="B25:B26"/>
    <mergeCell ref="N11:N12"/>
  </mergeCells>
  <conditionalFormatting sqref="B15:F15 B17:F17 B19:F19 B21:F21 B23:F23">
    <cfRule type="cellIs" priority="64" operator="lessThan" dxfId="12">
      <formula>0</formula>
    </cfRule>
    <cfRule type="containsText" priority="65" operator="between" dxfId="13" text="H">
      <formula>NOT(ISERROR(SEARCH("H",B15)))</formula>
    </cfRule>
    <cfRule type="cellIs" priority="66" operator="greaterThan" dxfId="14">
      <formula>0</formula>
    </cfRule>
  </conditionalFormatting>
  <conditionalFormatting sqref="H15:L15 H17:L17 H19:L19 H21:L21 H23:L23">
    <cfRule type="cellIs" priority="4" operator="lessThan" dxfId="12">
      <formula>0</formula>
    </cfRule>
    <cfRule type="containsText" priority="5" operator="between" dxfId="13" text="H">
      <formula>NOT(ISERROR(SEARCH("H",H15)))</formula>
    </cfRule>
    <cfRule type="cellIs" priority="6" operator="greaterThan" dxfId="14">
      <formula>0</formula>
    </cfRule>
  </conditionalFormatting>
  <conditionalFormatting sqref="N15:R15 N17:R17 N19:R19 N21:R21 N23:R23">
    <cfRule type="cellIs" priority="7" operator="lessThan" dxfId="12">
      <formula>0</formula>
    </cfRule>
    <cfRule type="containsText" priority="8" operator="between" dxfId="13" text="H">
      <formula>NOT(ISERROR(SEARCH("H",N15)))</formula>
    </cfRule>
    <cfRule type="cellIs" priority="9" operator="greaterThan" dxfId="14">
      <formula>0</formula>
    </cfRule>
  </conditionalFormatting>
  <conditionalFormatting sqref="B29:F29 B31:F31 B33:F33 B35:F35 B37:F37">
    <cfRule type="cellIs" priority="1" operator="lessThan" dxfId="12">
      <formula>0</formula>
    </cfRule>
    <cfRule type="containsText" priority="2" operator="between" dxfId="13" text="H">
      <formula>NOT(ISERROR(SEARCH("H",B29)))</formula>
    </cfRule>
    <cfRule type="cellIs" priority="3" operator="greaterThan" dxfId="14">
      <formula>0</formula>
    </cfRule>
  </conditionalFormatting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ySplit="1" topLeftCell="A38" activePane="bottomLeft" state="frozen"/>
      <selection activeCell="A1" sqref="A1"/>
      <selection pane="bottomLeft" activeCell="E380" sqref="E380"/>
    </sheetView>
  </sheetViews>
  <sheetFormatPr baseColWidth="8" defaultColWidth="9" defaultRowHeight="14"/>
  <cols>
    <col width="9.70833333333333" customWidth="1" style="107" min="1" max="1"/>
    <col width="9" customWidth="1" style="192" min="2" max="2"/>
    <col width="10.425" customWidth="1" style="192" min="3" max="3"/>
    <col width="8.70833333333333" customWidth="1" style="107" min="4" max="4"/>
    <col width="8.425000000000001" customWidth="1" style="107" min="5" max="5"/>
    <col width="9.141666666666669" customWidth="1" style="107" min="6" max="6"/>
    <col width="9.425000000000001" customWidth="1" style="107" min="7" max="7"/>
    <col width="7.28333333333333" customWidth="1" style="30" min="8" max="8"/>
    <col width="8.56666666666667" customWidth="1" style="107" min="9" max="9"/>
    <col width="7.85833333333333" customWidth="1" style="107" min="10" max="10"/>
    <col width="9" customWidth="1" style="107" min="11" max="11"/>
    <col width="8.425000000000001" customWidth="1" style="107" min="12" max="12"/>
    <col width="17.7083333333333" customWidth="1" style="31" min="13" max="13"/>
    <col width="11.7083333333333" customWidth="1" style="31" min="14" max="14"/>
    <col width="12.425" customWidth="1" style="107" min="15" max="15"/>
    <col width="21.2833333333333" customWidth="1" style="107" min="16" max="16"/>
    <col width="15.2833333333333" customWidth="1" style="107" min="17" max="17"/>
    <col width="12.7083333333333" customWidth="1" style="107" min="18" max="18"/>
    <col width="27.1416666666667" customWidth="1" style="107" min="19" max="19"/>
    <col width="9.141666666666669" customWidth="1" style="107" min="20" max="16384"/>
  </cols>
  <sheetData>
    <row r="1" ht="30" customHeight="1" s="107">
      <c r="A1" s="32" t="inlineStr">
        <is>
          <t>TICKER</t>
        </is>
      </c>
      <c r="B1" s="33" t="inlineStr">
        <is>
          <t>WEEK</t>
        </is>
      </c>
      <c r="C1" s="193" t="inlineStr">
        <is>
          <t>DATE</t>
        </is>
      </c>
      <c r="D1" s="194" t="inlineStr">
        <is>
          <t>TIME</t>
        </is>
      </c>
      <c r="E1" s="194" t="inlineStr">
        <is>
          <t>PDC</t>
        </is>
      </c>
      <c r="F1" s="194" t="inlineStr">
        <is>
          <t>PM MAX GAP</t>
        </is>
      </c>
      <c r="G1" s="36" t="inlineStr">
        <is>
          <t>ENTRY</t>
        </is>
      </c>
      <c r="H1" s="36" t="inlineStr">
        <is>
          <t>DD</t>
        </is>
      </c>
      <c r="I1" s="36" t="inlineStr">
        <is>
          <t>HIGH</t>
        </is>
      </c>
      <c r="J1" s="36" t="inlineStr">
        <is>
          <t>EXIT</t>
        </is>
      </c>
      <c r="K1" s="32" t="inlineStr">
        <is>
          <t>POINTS G/L</t>
        </is>
      </c>
      <c r="L1" s="36" t="inlineStr">
        <is>
          <t>MAX GAIN</t>
        </is>
      </c>
      <c r="M1" s="32" t="inlineStr">
        <is>
          <t>SETUP</t>
        </is>
      </c>
      <c r="N1" s="32" t="inlineStr">
        <is>
          <t>EXIT REASON</t>
        </is>
      </c>
      <c r="O1" s="32" t="inlineStr">
        <is>
          <t>ENTRY ATTEMPT</t>
        </is>
      </c>
      <c r="P1" s="32" t="inlineStr">
        <is>
          <t>SPACE</t>
        </is>
      </c>
      <c r="Q1" s="40" t="inlineStr">
        <is>
          <t>MARKET CAP</t>
        </is>
      </c>
      <c r="R1" s="40" t="inlineStr">
        <is>
          <t>FLOAT</t>
        </is>
      </c>
      <c r="S1" s="40" t="inlineStr">
        <is>
          <t>CHART</t>
        </is>
      </c>
    </row>
    <row r="2">
      <c r="A2" t="inlineStr">
        <is>
          <t>BPTH</t>
        </is>
      </c>
      <c r="B2">
        <f>VALUE(YEAR(Table1[[#This Row],[DATE]])&amp;TEXT(WEEKNUM(Table1[[#This Row],[DATE]])-1,"00"))</f>
        <v/>
      </c>
      <c r="C2" s="195" t="n">
        <v>44237</v>
      </c>
      <c r="D2" s="192" t="n">
        <v>0.3958333333333333</v>
      </c>
      <c r="E2" s="30" t="n"/>
      <c r="F2" s="30" t="n"/>
      <c r="G2" s="30" t="n">
        <v>17</v>
      </c>
      <c r="I2" s="30" t="n">
        <v>19</v>
      </c>
      <c r="J2" s="30" t="n">
        <v>16.7</v>
      </c>
      <c r="K2" s="30">
        <f>Table1[[#This Row],[EXIT]]-Table1[[#This Row],[ENTRY]]</f>
        <v/>
      </c>
      <c r="L2" s="30">
        <f>Table1[[#This Row],[HIGH]]-Table1[[#This Row],[ENTRY]]</f>
        <v/>
      </c>
      <c r="M2" t="inlineStr">
        <is>
          <t>PMH</t>
        </is>
      </c>
      <c r="N2" t="inlineStr">
        <is>
          <t>Failed</t>
        </is>
      </c>
      <c r="O2" s="39" t="n"/>
      <c r="P2" t="inlineStr">
        <is>
          <t>Biotech</t>
        </is>
      </c>
      <c r="Q2" s="31" t="n">
        <v>46630000</v>
      </c>
      <c r="R2" s="31" t="n">
        <v>6910000</v>
      </c>
    </row>
    <row r="3">
      <c r="A3" t="inlineStr">
        <is>
          <t>BPTH</t>
        </is>
      </c>
      <c r="B3">
        <f>VALUE(YEAR(Table1[[#This Row],[DATE]])&amp;TEXT(WEEKNUM(Table1[[#This Row],[DATE]])-1,"00"))</f>
        <v/>
      </c>
      <c r="C3" s="195" t="n">
        <v>44237</v>
      </c>
      <c r="D3" s="192" t="n">
        <v>0.3986111111111111</v>
      </c>
      <c r="E3" s="30" t="n"/>
      <c r="F3" s="30" t="n"/>
      <c r="G3" s="30" t="n">
        <v>17</v>
      </c>
      <c r="I3" s="30" t="n">
        <v>24.06</v>
      </c>
      <c r="J3" s="30" t="n">
        <v>19.5</v>
      </c>
      <c r="K3" s="30">
        <f>Table1[[#This Row],[EXIT]]-Table1[[#This Row],[ENTRY]]</f>
        <v/>
      </c>
      <c r="L3" s="30">
        <f>Table1[[#This Row],[HIGH]]-Table1[[#This Row],[ENTRY]]</f>
        <v/>
      </c>
      <c r="M3" t="inlineStr">
        <is>
          <t>PMH</t>
        </is>
      </c>
      <c r="N3" t="inlineStr">
        <is>
          <t>5x20</t>
        </is>
      </c>
      <c r="O3" s="39" t="n">
        <v>1</v>
      </c>
      <c r="P3" t="inlineStr">
        <is>
          <t>Biotech</t>
        </is>
      </c>
      <c r="Q3" s="31" t="n">
        <v>46630000</v>
      </c>
      <c r="R3" s="31" t="n">
        <v>6910000</v>
      </c>
    </row>
    <row r="4">
      <c r="A4" t="inlineStr">
        <is>
          <t>FSR</t>
        </is>
      </c>
      <c r="B4">
        <f>VALUE(YEAR(Table1[[#This Row],[DATE]])&amp;TEXT(WEEKNUM(Table1[[#This Row],[DATE]])-1,"00"))</f>
        <v/>
      </c>
      <c r="C4" s="195" t="n">
        <v>44239</v>
      </c>
      <c r="D4" s="192" t="n">
        <v>0.3847222222222222</v>
      </c>
      <c r="E4" s="30" t="n"/>
      <c r="F4" s="30" t="n"/>
      <c r="G4" s="30" t="n">
        <v>17.99</v>
      </c>
      <c r="I4" s="30" t="n">
        <v>18.98</v>
      </c>
      <c r="J4" s="30" t="n">
        <v>17.69</v>
      </c>
      <c r="K4" s="30">
        <f>Table1[[#This Row],[EXIT]]-Table1[[#This Row],[ENTRY]]</f>
        <v/>
      </c>
      <c r="L4" s="30">
        <f>Table1[[#This Row],[HIGH]]-Table1[[#This Row],[ENTRY]]</f>
        <v/>
      </c>
      <c r="M4" t="inlineStr">
        <is>
          <t>PMH</t>
        </is>
      </c>
      <c r="N4" t="inlineStr">
        <is>
          <t>Failed</t>
        </is>
      </c>
      <c r="O4" s="39" t="n"/>
      <c r="P4" t="inlineStr">
        <is>
          <t>Automotive</t>
        </is>
      </c>
      <c r="Q4" s="31" t="n">
        <v>5620000000</v>
      </c>
      <c r="R4" s="31" t="n">
        <v>157760000</v>
      </c>
      <c r="S4" t="inlineStr">
        <is>
          <t>..\Charts\fsr-20210212.png</t>
        </is>
      </c>
    </row>
    <row r="5">
      <c r="A5" t="inlineStr">
        <is>
          <t>AUVI</t>
        </is>
      </c>
      <c r="B5">
        <f>VALUE(YEAR(Table1[[#This Row],[DATE]])&amp;TEXT(WEEKNUM(Table1[[#This Row],[DATE]])-1,"00"))</f>
        <v/>
      </c>
      <c r="C5" s="195" t="n">
        <v>44239</v>
      </c>
      <c r="D5" s="192" t="n">
        <v>0.4</v>
      </c>
      <c r="E5" s="30" t="n"/>
      <c r="F5" s="30" t="n"/>
      <c r="G5" s="30" t="n">
        <v>24.69</v>
      </c>
      <c r="I5" s="30" t="n">
        <v>26.92</v>
      </c>
      <c r="J5" s="30" t="n">
        <v>24.39</v>
      </c>
      <c r="K5" s="30">
        <f>Table1[[#This Row],[EXIT]]-Table1[[#This Row],[ENTRY]]</f>
        <v/>
      </c>
      <c r="L5" s="30">
        <f>Table1[[#This Row],[HIGH]]-Table1[[#This Row],[ENTRY]]</f>
        <v/>
      </c>
      <c r="M5" t="inlineStr">
        <is>
          <t>PMH</t>
        </is>
      </c>
      <c r="N5" t="inlineStr">
        <is>
          <t>Failed</t>
        </is>
      </c>
      <c r="O5" s="39" t="n">
        <v>1</v>
      </c>
      <c r="P5" t="inlineStr">
        <is>
          <t>Consumer Furnishings</t>
        </is>
      </c>
      <c r="Q5" s="31" t="n">
        <v>89370000</v>
      </c>
      <c r="R5" s="31" t="n">
        <v>4170000</v>
      </c>
    </row>
    <row r="6">
      <c r="A6" t="inlineStr">
        <is>
          <t>IMGN</t>
        </is>
      </c>
      <c r="B6">
        <f>VALUE(YEAR(Table1[[#This Row],[DATE]])&amp;TEXT(WEEKNUM(Table1[[#This Row],[DATE]])-1,"00"))</f>
        <v/>
      </c>
      <c r="C6" s="195" t="n">
        <v>44239</v>
      </c>
      <c r="D6" s="192" t="n">
        <v>0.4</v>
      </c>
      <c r="E6" s="30" t="n"/>
      <c r="F6" s="30" t="n"/>
      <c r="G6" s="30" t="n">
        <v>8.640000000000001</v>
      </c>
      <c r="I6" s="30" t="n">
        <v>10.42</v>
      </c>
      <c r="J6" s="30" t="n">
        <v>9.800000000000001</v>
      </c>
      <c r="K6" s="30">
        <f>Table1[[#This Row],[EXIT]]-Table1[[#This Row],[ENTRY]]</f>
        <v/>
      </c>
      <c r="L6" s="30">
        <f>Table1[[#This Row],[HIGH]]-Table1[[#This Row],[ENTRY]]</f>
        <v/>
      </c>
      <c r="M6" t="inlineStr">
        <is>
          <t>PM Consolidation</t>
        </is>
      </c>
      <c r="N6" t="inlineStr">
        <is>
          <t>5x20</t>
        </is>
      </c>
      <c r="O6" s="39" t="n">
        <v>1</v>
      </c>
      <c r="P6" t="inlineStr">
        <is>
          <t>Biotech</t>
        </is>
      </c>
      <c r="Q6" s="31" t="n">
        <v>1280000000</v>
      </c>
      <c r="R6" s="31" t="n">
        <v>198840000</v>
      </c>
      <c r="S6" t="inlineStr">
        <is>
          <t>..\Charts\imgn-20210212.png</t>
        </is>
      </c>
    </row>
    <row r="7">
      <c r="A7" t="inlineStr">
        <is>
          <t>FSR</t>
        </is>
      </c>
      <c r="B7">
        <f>VALUE(YEAR(Table1[[#This Row],[DATE]])&amp;TEXT(WEEKNUM(Table1[[#This Row],[DATE]])-1,"00"))</f>
        <v/>
      </c>
      <c r="C7" s="195" t="n">
        <v>44239</v>
      </c>
      <c r="D7" s="192" t="n">
        <v>0.4055555555555556</v>
      </c>
      <c r="E7" s="30" t="n"/>
      <c r="F7" s="30" t="n"/>
      <c r="G7" s="30" t="n">
        <v>18.18</v>
      </c>
      <c r="I7" s="30" t="n">
        <v>19.89</v>
      </c>
      <c r="J7" s="30" t="n">
        <v>18.93</v>
      </c>
      <c r="K7" s="30">
        <f>Table1[[#This Row],[EXIT]]-Table1[[#This Row],[ENTRY]]</f>
        <v/>
      </c>
      <c r="L7" s="30">
        <f>Table1[[#This Row],[HIGH]]-Table1[[#This Row],[ENTRY]]</f>
        <v/>
      </c>
      <c r="M7" t="inlineStr">
        <is>
          <t>Pivot</t>
        </is>
      </c>
      <c r="N7" t="inlineStr">
        <is>
          <t>5x20</t>
        </is>
      </c>
      <c r="O7" s="39" t="n">
        <v>2</v>
      </c>
      <c r="P7" t="inlineStr">
        <is>
          <t>Automotive</t>
        </is>
      </c>
      <c r="Q7" s="31" t="n">
        <v>5620000000</v>
      </c>
      <c r="R7" s="31" t="n">
        <v>157760000</v>
      </c>
      <c r="S7" t="inlineStr">
        <is>
          <t>..\Charts\fsr-20210212.png</t>
        </is>
      </c>
    </row>
    <row r="8">
      <c r="A8" t="inlineStr">
        <is>
          <t>BNGO</t>
        </is>
      </c>
      <c r="B8">
        <f>VALUE(YEAR(Table1[[#This Row],[DATE]])&amp;TEXT(WEEKNUM(Table1[[#This Row],[DATE]])-1,"00"))</f>
        <v/>
      </c>
      <c r="C8" s="195" t="n">
        <v>44239</v>
      </c>
      <c r="D8" s="192" t="n">
        <v>0.4166666666666667</v>
      </c>
      <c r="E8" s="30" t="n"/>
      <c r="F8" s="30" t="n"/>
      <c r="G8" s="30" t="n">
        <v>12</v>
      </c>
      <c r="I8" s="30" t="n">
        <v>12.88</v>
      </c>
      <c r="J8" s="30" t="n">
        <v>12.2</v>
      </c>
      <c r="K8" s="30">
        <f>Table1[[#This Row],[EXIT]]-Table1[[#This Row],[ENTRY]]</f>
        <v/>
      </c>
      <c r="L8" s="30">
        <f>Table1[[#This Row],[HIGH]]-Table1[[#This Row],[ENTRY]]</f>
        <v/>
      </c>
      <c r="M8" t="inlineStr">
        <is>
          <t>PMH</t>
        </is>
      </c>
      <c r="N8" t="inlineStr">
        <is>
          <t>5x20</t>
        </is>
      </c>
      <c r="O8" s="39" t="n">
        <v>1</v>
      </c>
      <c r="P8" t="inlineStr">
        <is>
          <t>Healthcare Research</t>
        </is>
      </c>
      <c r="Q8" s="31" t="n">
        <v>1940000000</v>
      </c>
      <c r="R8" s="31" t="n">
        <v>275800000</v>
      </c>
      <c r="S8" t="inlineStr">
        <is>
          <t>..\Charts\bngo-20210212.png</t>
        </is>
      </c>
    </row>
    <row r="9">
      <c r="A9" t="inlineStr">
        <is>
          <t>OCGN</t>
        </is>
      </c>
      <c r="B9">
        <f>VALUE(YEAR(Table1[[#This Row],[DATE]])&amp;TEXT(WEEKNUM(Table1[[#This Row],[DATE]])-1,"00"))</f>
        <v/>
      </c>
      <c r="C9" s="195" t="n">
        <v>44239</v>
      </c>
      <c r="D9" s="192" t="n">
        <v>0.46875</v>
      </c>
      <c r="E9" s="30" t="n"/>
      <c r="F9" s="30" t="n"/>
      <c r="G9" s="30" t="n">
        <v>9.83</v>
      </c>
      <c r="I9" s="30" t="n">
        <v>13.51</v>
      </c>
      <c r="J9" s="30" t="n">
        <v>11.28</v>
      </c>
      <c r="K9" s="30">
        <f>Table1[[#This Row],[EXIT]]-Table1[[#This Row],[ENTRY]]</f>
        <v/>
      </c>
      <c r="L9" s="30">
        <f>Table1[[#This Row],[HIGH]]-Table1[[#This Row],[ENTRY]]</f>
        <v/>
      </c>
      <c r="M9" t="inlineStr">
        <is>
          <t>Consolidation</t>
        </is>
      </c>
      <c r="N9" t="inlineStr">
        <is>
          <t>5x20</t>
        </is>
      </c>
      <c r="O9" s="39" t="n">
        <v>1</v>
      </c>
      <c r="P9" t="inlineStr">
        <is>
          <t>Biotech</t>
        </is>
      </c>
      <c r="Q9" s="31" t="n">
        <v>1560000000</v>
      </c>
      <c r="R9" s="31" t="n">
        <v>192500000</v>
      </c>
    </row>
    <row r="10">
      <c r="A10" t="inlineStr">
        <is>
          <t>BNGO</t>
        </is>
      </c>
      <c r="B10">
        <f>VALUE(YEAR(Table1[[#This Row],[DATE]])&amp;TEXT(WEEKNUM(Table1[[#This Row],[DATE]])-1,"00"))</f>
        <v/>
      </c>
      <c r="C10" s="195" t="n">
        <v>44239</v>
      </c>
      <c r="D10" s="192" t="n">
        <v>0.4861111111111111</v>
      </c>
      <c r="E10" s="30" t="n"/>
      <c r="F10" s="30" t="n"/>
      <c r="G10" s="30" t="n">
        <v>12.88</v>
      </c>
      <c r="I10" s="30" t="n">
        <v>13.6</v>
      </c>
      <c r="J10" s="30" t="n">
        <v>13.1</v>
      </c>
      <c r="K10" s="30">
        <f>Table1[[#This Row],[EXIT]]-Table1[[#This Row],[ENTRY]]</f>
        <v/>
      </c>
      <c r="L10" s="30">
        <f>Table1[[#This Row],[HIGH]]-Table1[[#This Row],[ENTRY]]</f>
        <v/>
      </c>
      <c r="M10" t="inlineStr">
        <is>
          <t>HOD</t>
        </is>
      </c>
      <c r="N10" t="inlineStr">
        <is>
          <t>5x20</t>
        </is>
      </c>
      <c r="O10" s="39" t="n">
        <v>1</v>
      </c>
      <c r="P10" t="inlineStr">
        <is>
          <t>Healthcare Research</t>
        </is>
      </c>
      <c r="Q10" s="31" t="n">
        <v>1940000000</v>
      </c>
      <c r="R10" s="31" t="n">
        <v>275800000</v>
      </c>
      <c r="S10" t="inlineStr">
        <is>
          <t>..\Charts\bngo-20210212.png</t>
        </is>
      </c>
    </row>
    <row r="11">
      <c r="A11" t="inlineStr">
        <is>
          <t>TRCH</t>
        </is>
      </c>
      <c r="B11">
        <f>VALUE(YEAR(Table1[[#This Row],[DATE]])&amp;TEXT(WEEKNUM(Table1[[#This Row],[DATE]])-1,"00"))</f>
        <v/>
      </c>
      <c r="C11" s="195" t="n">
        <v>44243</v>
      </c>
      <c r="D11" s="192" t="n">
        <v>0.3791666666666667</v>
      </c>
      <c r="E11" s="30" t="n"/>
      <c r="F11" s="30" t="n"/>
      <c r="G11" s="30" t="n">
        <v>4</v>
      </c>
      <c r="I11" s="30" t="n">
        <v>4.78</v>
      </c>
      <c r="J11" s="30" t="n">
        <v>4.43</v>
      </c>
      <c r="K11" s="30">
        <f>Table1[[#This Row],[EXIT]]-Table1[[#This Row],[ENTRY]]</f>
        <v/>
      </c>
      <c r="L11" s="30">
        <f>Table1[[#This Row],[HIGH]]-Table1[[#This Row],[ENTRY]]</f>
        <v/>
      </c>
      <c r="M11" t="inlineStr">
        <is>
          <t>PMH</t>
        </is>
      </c>
      <c r="N11" t="inlineStr">
        <is>
          <t>5x20</t>
        </is>
      </c>
      <c r="O11" s="39" t="n">
        <v>1</v>
      </c>
      <c r="Q11" s="31" t="n"/>
      <c r="R11" s="31" t="n"/>
      <c r="S11" t="inlineStr">
        <is>
          <t>..\Charts\trch-20210216.png</t>
        </is>
      </c>
    </row>
    <row r="12">
      <c r="A12" t="inlineStr">
        <is>
          <t>APHA</t>
        </is>
      </c>
      <c r="B12">
        <f>VALUE(YEAR(Table1[[#This Row],[DATE]])&amp;TEXT(WEEKNUM(Table1[[#This Row],[DATE]])-1,"00"))</f>
        <v/>
      </c>
      <c r="C12" s="195" t="n">
        <v>44243</v>
      </c>
      <c r="D12" s="192" t="n">
        <v>0.3805555555555555</v>
      </c>
      <c r="E12" s="30" t="n"/>
      <c r="F12" s="30" t="n"/>
      <c r="G12" s="30" t="n">
        <v>19.05</v>
      </c>
      <c r="I12" s="30" t="n">
        <v>19.45</v>
      </c>
      <c r="J12" s="30" t="n">
        <v>18.9</v>
      </c>
      <c r="K12" s="30">
        <f>Table1[[#This Row],[EXIT]]-Table1[[#This Row],[ENTRY]]</f>
        <v/>
      </c>
      <c r="L12" s="30">
        <f>Table1[[#This Row],[HIGH]]-Table1[[#This Row],[ENTRY]]</f>
        <v/>
      </c>
      <c r="M12" t="inlineStr">
        <is>
          <t>PMH</t>
        </is>
      </c>
      <c r="N12" t="inlineStr">
        <is>
          <t>Failed</t>
        </is>
      </c>
      <c r="O12" s="39" t="n"/>
      <c r="P12" t="inlineStr">
        <is>
          <t>Biotech</t>
        </is>
      </c>
      <c r="Q12" s="31" t="n">
        <v>330090000</v>
      </c>
      <c r="R12" s="31" t="n">
        <v>42910000</v>
      </c>
      <c r="S12" t="inlineStr">
        <is>
          <t>..\Charts\apha-20210216.png</t>
        </is>
      </c>
    </row>
    <row r="13">
      <c r="A13" t="inlineStr">
        <is>
          <t>MVIS</t>
        </is>
      </c>
      <c r="B13">
        <f>VALUE(YEAR(Table1[[#This Row],[DATE]])&amp;TEXT(WEEKNUM(Table1[[#This Row],[DATE]])-1,"00"))</f>
        <v/>
      </c>
      <c r="C13" s="195" t="n">
        <v>44243</v>
      </c>
      <c r="D13" s="192" t="n">
        <v>0.4</v>
      </c>
      <c r="E13" s="30" t="n"/>
      <c r="F13" s="30" t="n"/>
      <c r="G13" s="30" t="n">
        <v>20.65</v>
      </c>
      <c r="I13" s="30" t="n">
        <v>21.5</v>
      </c>
      <c r="J13" s="30" t="n">
        <v>22.25</v>
      </c>
      <c r="K13" s="30">
        <f>Table1[[#This Row],[EXIT]]-Table1[[#This Row],[ENTRY]]</f>
        <v/>
      </c>
      <c r="L13" s="30">
        <f>Table1[[#This Row],[HIGH]]-Table1[[#This Row],[ENTRY]]</f>
        <v/>
      </c>
      <c r="M13" t="inlineStr">
        <is>
          <t>PMH</t>
        </is>
      </c>
      <c r="N13" t="inlineStr">
        <is>
          <t>5x20</t>
        </is>
      </c>
      <c r="O13" s="39" t="n">
        <v>1</v>
      </c>
      <c r="P13" t="inlineStr">
        <is>
          <t>Technology</t>
        </is>
      </c>
      <c r="Q13" s="31" t="n">
        <v>2580000000</v>
      </c>
      <c r="R13" s="31" t="n">
        <v>156900000</v>
      </c>
      <c r="S13" t="inlineStr">
        <is>
          <t>..\Charts\mvis-20210216.png</t>
        </is>
      </c>
    </row>
    <row r="14">
      <c r="A14" t="inlineStr">
        <is>
          <t>SCKT</t>
        </is>
      </c>
      <c r="B14">
        <f>VALUE(YEAR(Table1[[#This Row],[DATE]])&amp;TEXT(WEEKNUM(Table1[[#This Row],[DATE]])-1,"00"))</f>
        <v/>
      </c>
      <c r="C14" s="195" t="n">
        <v>44243</v>
      </c>
      <c r="D14" s="192" t="n">
        <v>0.4</v>
      </c>
      <c r="E14" s="30" t="n"/>
      <c r="F14" s="30" t="n"/>
      <c r="G14" s="30" t="n">
        <v>10.7</v>
      </c>
      <c r="I14" s="30" t="n">
        <v>13.7</v>
      </c>
      <c r="J14" s="30" t="n">
        <v>10.66</v>
      </c>
      <c r="K14" s="30">
        <f>Table1[[#This Row],[EXIT]]-Table1[[#This Row],[ENTRY]]</f>
        <v/>
      </c>
      <c r="L14" s="30">
        <f>Table1[[#This Row],[HIGH]]-Table1[[#This Row],[ENTRY]]</f>
        <v/>
      </c>
      <c r="M14" t="inlineStr">
        <is>
          <t>PMH</t>
        </is>
      </c>
      <c r="N14" t="inlineStr">
        <is>
          <t>BE</t>
        </is>
      </c>
      <c r="O14" s="39" t="n">
        <v>2</v>
      </c>
      <c r="P14" t="inlineStr">
        <is>
          <t>Computer Hardware</t>
        </is>
      </c>
      <c r="Q14" s="31" t="n">
        <v>49420000</v>
      </c>
      <c r="R14" s="31" t="n">
        <v>5730000</v>
      </c>
      <c r="S14" t="inlineStr">
        <is>
          <t>..\Charts\sckt-20210216.png</t>
        </is>
      </c>
    </row>
    <row r="15">
      <c r="A15" t="inlineStr">
        <is>
          <t>APHA</t>
        </is>
      </c>
      <c r="B15">
        <f>VALUE(YEAR(Table1[[#This Row],[DATE]])&amp;TEXT(WEEKNUM(Table1[[#This Row],[DATE]])-1,"00"))</f>
        <v/>
      </c>
      <c r="C15" s="195" t="n">
        <v>44243</v>
      </c>
      <c r="D15" s="192" t="n">
        <v>0.4638888888888889</v>
      </c>
      <c r="E15" s="30" t="n"/>
      <c r="F15" s="30" t="n"/>
      <c r="G15" s="30" t="n">
        <v>19.55</v>
      </c>
      <c r="I15" s="30" t="n">
        <v>21.65</v>
      </c>
      <c r="J15" s="30" t="n">
        <v>21</v>
      </c>
      <c r="K15" s="30">
        <f>Table1[[#This Row],[EXIT]]-Table1[[#This Row],[ENTRY]]</f>
        <v/>
      </c>
      <c r="L15" s="30">
        <f>Table1[[#This Row],[HIGH]]-Table1[[#This Row],[ENTRY]]</f>
        <v/>
      </c>
      <c r="M15" t="inlineStr">
        <is>
          <t>R2G</t>
        </is>
      </c>
      <c r="N15" t="inlineStr">
        <is>
          <t>5x20</t>
        </is>
      </c>
      <c r="O15" s="39" t="n">
        <v>2</v>
      </c>
      <c r="P15" t="inlineStr">
        <is>
          <t>Biotech</t>
        </is>
      </c>
      <c r="Q15" s="31" t="n">
        <v>330090000</v>
      </c>
      <c r="R15" s="31" t="n">
        <v>42910000</v>
      </c>
      <c r="S15" t="inlineStr">
        <is>
          <t>..\Charts\apha-20210216.png</t>
        </is>
      </c>
    </row>
    <row r="16">
      <c r="A16" t="inlineStr">
        <is>
          <t>SCKT</t>
        </is>
      </c>
      <c r="B16">
        <f>VALUE(YEAR(Table1[[#This Row],[DATE]])&amp;TEXT(WEEKNUM(Table1[[#This Row],[DATE]])-1,"00"))</f>
        <v/>
      </c>
      <c r="C16" s="195" t="n">
        <v>44243</v>
      </c>
      <c r="D16" s="192" t="n">
        <v>0.4666666666666667</v>
      </c>
      <c r="E16" s="30" t="n"/>
      <c r="F16" s="30" t="n"/>
      <c r="G16" s="30" t="n">
        <v>13.8</v>
      </c>
      <c r="I16" s="30" t="n">
        <v>26</v>
      </c>
      <c r="J16" s="30" t="n">
        <v>25.3</v>
      </c>
      <c r="K16" s="30">
        <f>Table1[[#This Row],[EXIT]]-Table1[[#This Row],[ENTRY]]</f>
        <v/>
      </c>
      <c r="L16" s="30">
        <f>Table1[[#This Row],[HIGH]]-Table1[[#This Row],[ENTRY]]</f>
        <v/>
      </c>
      <c r="M16" t="inlineStr">
        <is>
          <t>PMH</t>
        </is>
      </c>
      <c r="N16" t="inlineStr">
        <is>
          <t>Profit</t>
        </is>
      </c>
      <c r="O16" s="39" t="n">
        <v>2</v>
      </c>
      <c r="P16" t="inlineStr">
        <is>
          <t>Computer Hardware</t>
        </is>
      </c>
      <c r="Q16" s="31" t="n">
        <v>49420000</v>
      </c>
      <c r="R16" s="31" t="n">
        <v>5730000</v>
      </c>
      <c r="S16" t="inlineStr">
        <is>
          <t>..\Charts\sckt-20210216.png</t>
        </is>
      </c>
    </row>
    <row r="17">
      <c r="A17" t="inlineStr">
        <is>
          <t>FLDM</t>
        </is>
      </c>
      <c r="B17">
        <f>VALUE(YEAR(Table1[[#This Row],[DATE]])&amp;TEXT(WEEKNUM(Table1[[#This Row],[DATE]])-1,"00"))</f>
        <v/>
      </c>
      <c r="C17" s="195" t="n">
        <v>44244</v>
      </c>
      <c r="D17" s="192" t="n">
        <v>0.4138888888888889</v>
      </c>
      <c r="E17" s="30" t="n"/>
      <c r="F17" s="30" t="n"/>
      <c r="G17" s="30" t="n">
        <v>5.46</v>
      </c>
      <c r="I17" s="30" t="n">
        <v>6.35</v>
      </c>
      <c r="J17" s="30" t="n">
        <v>6.15</v>
      </c>
      <c r="K17" s="30">
        <f>Table1[[#This Row],[EXIT]]-Table1[[#This Row],[ENTRY]]</f>
        <v/>
      </c>
      <c r="L17" s="30">
        <f>Table1[[#This Row],[HIGH]]-Table1[[#This Row],[ENTRY]]</f>
        <v/>
      </c>
      <c r="M17" t="inlineStr">
        <is>
          <t>Consolidation</t>
        </is>
      </c>
      <c r="N17" t="inlineStr">
        <is>
          <t>5x20</t>
        </is>
      </c>
      <c r="O17" s="39" t="n">
        <v>1</v>
      </c>
      <c r="P17" t="inlineStr">
        <is>
          <t>Healthcare</t>
        </is>
      </c>
      <c r="Q17" s="31" t="n">
        <v>468220000</v>
      </c>
      <c r="R17" s="31" t="n">
        <v>74010000</v>
      </c>
    </row>
    <row r="18">
      <c r="A18" t="inlineStr">
        <is>
          <t>CAN</t>
        </is>
      </c>
      <c r="B18">
        <f>VALUE(YEAR(Table1[[#This Row],[DATE]])&amp;TEXT(WEEKNUM(Table1[[#This Row],[DATE]])-1,"00"))</f>
        <v/>
      </c>
      <c r="C18" s="195" t="n">
        <v>44246</v>
      </c>
      <c r="D18" s="192" t="n">
        <v>0.3958333333333333</v>
      </c>
      <c r="E18" s="30" t="n"/>
      <c r="F18" s="30" t="n"/>
      <c r="G18" s="30" t="n">
        <v>19.25</v>
      </c>
      <c r="I18" s="30" t="n">
        <v>24.9</v>
      </c>
      <c r="J18" s="30" t="n">
        <v>23.6</v>
      </c>
      <c r="K18" s="30">
        <f>Table1[[#This Row],[EXIT]]-Table1[[#This Row],[ENTRY]]</f>
        <v/>
      </c>
      <c r="L18" s="30">
        <f>Table1[[#This Row],[HIGH]]-Table1[[#This Row],[ENTRY]]</f>
        <v/>
      </c>
      <c r="M18" t="inlineStr">
        <is>
          <t>PM Consolidation</t>
        </is>
      </c>
      <c r="N18" t="inlineStr">
        <is>
          <t>5x20</t>
        </is>
      </c>
      <c r="O18" s="39" t="n">
        <v>1</v>
      </c>
      <c r="P18" t="inlineStr">
        <is>
          <t>Computer Hardware</t>
        </is>
      </c>
      <c r="Q18" s="31" t="n">
        <v>1380000000</v>
      </c>
      <c r="R18" s="31" t="n">
        <v>128090000</v>
      </c>
      <c r="S18" t="inlineStr">
        <is>
          <t>..\Charts\can-20210219.png</t>
        </is>
      </c>
    </row>
    <row r="19">
      <c r="A19" t="inlineStr">
        <is>
          <t>VCNX</t>
        </is>
      </c>
      <c r="B19">
        <f>VALUE(YEAR(Table1[[#This Row],[DATE]])&amp;TEXT(WEEKNUM(Table1[[#This Row],[DATE]])-1,"00"))</f>
        <v/>
      </c>
      <c r="C19" s="195" t="n">
        <v>44246</v>
      </c>
      <c r="D19" s="192" t="n">
        <v>0.3958333333333333</v>
      </c>
      <c r="E19" s="30" t="n"/>
      <c r="F19" s="30" t="n"/>
      <c r="G19" s="30" t="n">
        <v>6.33</v>
      </c>
      <c r="I19" s="30" t="n">
        <v>9.56</v>
      </c>
      <c r="J19" s="30" t="n">
        <v>6.9</v>
      </c>
      <c r="K19" s="30">
        <f>Table1[[#This Row],[EXIT]]-Table1[[#This Row],[ENTRY]]</f>
        <v/>
      </c>
      <c r="L19" s="30">
        <f>Table1[[#This Row],[HIGH]]-Table1[[#This Row],[ENTRY]]</f>
        <v/>
      </c>
      <c r="M19" t="inlineStr">
        <is>
          <t>PMH</t>
        </is>
      </c>
      <c r="N19" t="inlineStr">
        <is>
          <t>5x20</t>
        </is>
      </c>
      <c r="O19" s="39" t="n">
        <v>1</v>
      </c>
      <c r="P19" t="inlineStr">
        <is>
          <t>Biotech</t>
        </is>
      </c>
      <c r="Q19" s="31" t="n">
        <v>77480000</v>
      </c>
      <c r="R19" s="31" t="n">
        <v>24330000</v>
      </c>
      <c r="S19" t="inlineStr">
        <is>
          <t>..\Charts\vcnx-20210219.png</t>
        </is>
      </c>
    </row>
    <row r="20">
      <c r="A20" t="inlineStr">
        <is>
          <t>CAN</t>
        </is>
      </c>
      <c r="B20">
        <f>VALUE(YEAR(Table1[[#This Row],[DATE]])&amp;TEXT(WEEKNUM(Table1[[#This Row],[DATE]])-1,"00"))</f>
        <v/>
      </c>
      <c r="C20" s="195" t="n">
        <v>44256</v>
      </c>
      <c r="D20" s="192" t="n">
        <v>0.4027777777777778</v>
      </c>
      <c r="E20" s="30" t="n"/>
      <c r="F20" s="30" t="n"/>
      <c r="G20" s="30" t="n">
        <v>17.74</v>
      </c>
      <c r="I20" s="30" t="n">
        <v>21.83</v>
      </c>
      <c r="J20" s="30" t="n">
        <v>21.83</v>
      </c>
      <c r="K20" s="30">
        <f>Table1[[#This Row],[EXIT]]-Table1[[#This Row],[ENTRY]]</f>
        <v/>
      </c>
      <c r="L20" s="30">
        <f>Table1[[#This Row],[HIGH]]-Table1[[#This Row],[ENTRY]]</f>
        <v/>
      </c>
      <c r="M20" t="inlineStr">
        <is>
          <t>PM Consolidation</t>
        </is>
      </c>
      <c r="N20" t="inlineStr">
        <is>
          <t>5x20</t>
        </is>
      </c>
      <c r="O20" s="39" t="n"/>
      <c r="P20" t="inlineStr">
        <is>
          <t>Computer Hardware</t>
        </is>
      </c>
      <c r="Q20" s="31" t="n">
        <v>1380000000</v>
      </c>
      <c r="R20" s="31" t="n">
        <v>128090000</v>
      </c>
    </row>
    <row r="21">
      <c r="A21" t="inlineStr">
        <is>
          <t>APHA</t>
        </is>
      </c>
      <c r="B21">
        <f>VALUE(YEAR(Table1[[#This Row],[DATE]])&amp;TEXT(WEEKNUM(Table1[[#This Row],[DATE]])-1,"00"))</f>
        <v/>
      </c>
      <c r="C21" s="195" t="n">
        <v>44257</v>
      </c>
      <c r="D21" s="192" t="n">
        <v>0.3958333333333333</v>
      </c>
      <c r="E21" s="30" t="n"/>
      <c r="F21" s="30" t="n"/>
      <c r="G21" s="30" t="n">
        <v>19.3</v>
      </c>
      <c r="I21" s="30" t="n">
        <v>21.21</v>
      </c>
      <c r="J21" s="30" t="n">
        <v>20.15</v>
      </c>
      <c r="K21" s="30">
        <f>Table1[[#This Row],[EXIT]]-Table1[[#This Row],[ENTRY]]</f>
        <v/>
      </c>
      <c r="L21" s="30">
        <f>Table1[[#This Row],[HIGH]]-Table1[[#This Row],[ENTRY]]</f>
        <v/>
      </c>
      <c r="M21" t="inlineStr">
        <is>
          <t>PM Consolidation</t>
        </is>
      </c>
      <c r="N21" t="inlineStr">
        <is>
          <t>5x20</t>
        </is>
      </c>
      <c r="O21" s="39" t="n"/>
      <c r="P21" t="inlineStr">
        <is>
          <t>Biotech</t>
        </is>
      </c>
      <c r="Q21" s="31" t="n">
        <v>330090000</v>
      </c>
      <c r="R21" s="31" t="n">
        <v>42910000</v>
      </c>
    </row>
    <row r="22">
      <c r="A22" t="inlineStr">
        <is>
          <t>AMTX</t>
        </is>
      </c>
      <c r="B22">
        <f>VALUE(YEAR(Table1[[#This Row],[DATE]])&amp;TEXT(WEEKNUM(Table1[[#This Row],[DATE]])-1,"00"))</f>
        <v/>
      </c>
      <c r="C22" s="195" t="n">
        <v>44257</v>
      </c>
      <c r="D22" s="192" t="n">
        <v>0.4201388888888889</v>
      </c>
      <c r="E22" s="30" t="n"/>
      <c r="F22" s="30" t="n"/>
      <c r="G22" s="30" t="n">
        <v>14.97</v>
      </c>
      <c r="I22" s="30" t="n">
        <v>15.24</v>
      </c>
      <c r="J22" s="30" t="n">
        <v>14.67</v>
      </c>
      <c r="K22" s="30">
        <f>Table1[[#This Row],[EXIT]]-Table1[[#This Row],[ENTRY]]</f>
        <v/>
      </c>
      <c r="L22" s="30">
        <f>Table1[[#This Row],[HIGH]]-Table1[[#This Row],[ENTRY]]</f>
        <v/>
      </c>
      <c r="M22" t="inlineStr">
        <is>
          <t>PMH</t>
        </is>
      </c>
      <c r="N22" t="inlineStr">
        <is>
          <t>Failed</t>
        </is>
      </c>
      <c r="O22" s="39" t="n"/>
      <c r="P22" t="inlineStr">
        <is>
          <t>Energy</t>
        </is>
      </c>
      <c r="Q22" s="31" t="n">
        <v>362240000</v>
      </c>
      <c r="R22" s="31" t="n">
        <v>18840000</v>
      </c>
      <c r="S22" t="inlineStr">
        <is>
          <t>..\Charts\amtx-20210302.jpg</t>
        </is>
      </c>
    </row>
    <row r="23">
      <c r="A23" t="inlineStr">
        <is>
          <t>AMTX</t>
        </is>
      </c>
      <c r="B23">
        <f>VALUE(YEAR(Table1[[#This Row],[DATE]])&amp;TEXT(WEEKNUM(Table1[[#This Row],[DATE]])-1,"00"))</f>
        <v/>
      </c>
      <c r="C23" s="195" t="n">
        <v>44257</v>
      </c>
      <c r="D23" s="192" t="n">
        <v>0.4375</v>
      </c>
      <c r="E23" s="30" t="n"/>
      <c r="F23" s="30" t="n"/>
      <c r="G23" s="30" t="n">
        <v>14.97</v>
      </c>
      <c r="I23" s="30" t="n">
        <v>19.98</v>
      </c>
      <c r="J23" s="30" t="n">
        <v>18.49</v>
      </c>
      <c r="K23" s="30">
        <f>Table1[[#This Row],[EXIT]]-Table1[[#This Row],[ENTRY]]</f>
        <v/>
      </c>
      <c r="L23" s="30">
        <f>Table1[[#This Row],[HIGH]]-Table1[[#This Row],[ENTRY]]</f>
        <v/>
      </c>
      <c r="M23" t="inlineStr">
        <is>
          <t>Pivot</t>
        </is>
      </c>
      <c r="N23" t="inlineStr">
        <is>
          <t>5x20</t>
        </is>
      </c>
      <c r="O23" s="39" t="n">
        <v>2</v>
      </c>
      <c r="P23" t="inlineStr">
        <is>
          <t>Energy</t>
        </is>
      </c>
      <c r="Q23" s="31" t="n">
        <v>362240000</v>
      </c>
      <c r="R23" s="31" t="n">
        <v>18840000</v>
      </c>
      <c r="S23" t="inlineStr">
        <is>
          <t>..\Charts\amtx-20210302.jpg</t>
        </is>
      </c>
    </row>
    <row r="24">
      <c r="A24" t="inlineStr">
        <is>
          <t>EYES</t>
        </is>
      </c>
      <c r="B24">
        <f>VALUE(YEAR(Table1[[#This Row],[DATE]])&amp;TEXT(WEEKNUM(Table1[[#This Row],[DATE]])-1,"00"))</f>
        <v/>
      </c>
      <c r="C24" s="195" t="n">
        <v>44260</v>
      </c>
      <c r="D24" s="192" t="n">
        <v>0.4166666666666667</v>
      </c>
      <c r="E24" s="30" t="n"/>
      <c r="F24" s="30" t="n"/>
      <c r="G24" s="30" t="n">
        <v>2.51</v>
      </c>
      <c r="I24" s="30" t="n">
        <v>9.890000000000001</v>
      </c>
      <c r="J24" s="30" t="n">
        <v>6.56</v>
      </c>
      <c r="K24" s="30">
        <f>Table1[[#This Row],[EXIT]]-Table1[[#This Row],[ENTRY]]</f>
        <v/>
      </c>
      <c r="L24" s="30">
        <f>Table1[[#This Row],[HIGH]]-Table1[[#This Row],[ENTRY]]</f>
        <v/>
      </c>
      <c r="M24" t="inlineStr">
        <is>
          <t>PM Consolidation</t>
        </is>
      </c>
      <c r="N24" t="inlineStr">
        <is>
          <t>5x20</t>
        </is>
      </c>
      <c r="O24" s="39" t="n">
        <v>2</v>
      </c>
      <c r="P24" t="inlineStr">
        <is>
          <t>Medical Devices</t>
        </is>
      </c>
      <c r="Q24" s="31" t="n">
        <v>140540000</v>
      </c>
      <c r="R24" s="31" t="n">
        <v>7960000</v>
      </c>
      <c r="S24" t="inlineStr">
        <is>
          <t>..\Charts\eyes-20210305.jpg</t>
        </is>
      </c>
    </row>
    <row r="25">
      <c r="A25" t="inlineStr">
        <is>
          <t>WKHS</t>
        </is>
      </c>
      <c r="B25">
        <f>VALUE(YEAR(Table1[[#This Row],[DATE]])&amp;TEXT(WEEKNUM(Table1[[#This Row],[DATE]])-1,"00"))</f>
        <v/>
      </c>
      <c r="C25" s="195" t="n">
        <v>44263</v>
      </c>
      <c r="D25" s="192" t="n">
        <v>0.4027777777777778</v>
      </c>
      <c r="E25" s="30" t="n"/>
      <c r="F25" s="30" t="n"/>
      <c r="G25" s="30" t="n">
        <v>14.36</v>
      </c>
      <c r="I25" s="30" t="n">
        <v>14.7</v>
      </c>
      <c r="J25" s="30" t="n">
        <v>14.06</v>
      </c>
      <c r="K25" s="30">
        <f>Table1[[#This Row],[EXIT]]-Table1[[#This Row],[ENTRY]]</f>
        <v/>
      </c>
      <c r="L25" s="30">
        <f>Table1[[#This Row],[HIGH]]-Table1[[#This Row],[ENTRY]]</f>
        <v/>
      </c>
      <c r="M25" t="inlineStr">
        <is>
          <t>PMH</t>
        </is>
      </c>
      <c r="N25" t="inlineStr">
        <is>
          <t>Failed</t>
        </is>
      </c>
      <c r="O25" s="39" t="n"/>
      <c r="P25" t="inlineStr">
        <is>
          <t>Electric Vehicles</t>
        </is>
      </c>
      <c r="Q25" s="31" t="n">
        <v>2030000000</v>
      </c>
      <c r="R25" s="31" t="n">
        <v>112690000</v>
      </c>
    </row>
    <row r="26">
      <c r="A26" t="inlineStr">
        <is>
          <t>BNGO</t>
        </is>
      </c>
      <c r="B26">
        <f>VALUE(YEAR(Table1[[#This Row],[DATE]])&amp;TEXT(WEEKNUM(Table1[[#This Row],[DATE]])-1,"00"))</f>
        <v/>
      </c>
      <c r="C26" s="195" t="n">
        <v>44263</v>
      </c>
      <c r="D26" s="192" t="n">
        <v>0.4069444444444444</v>
      </c>
      <c r="E26" s="30" t="n"/>
      <c r="F26" s="30" t="n"/>
      <c r="G26" s="30" t="n">
        <v>7.84</v>
      </c>
      <c r="I26" s="30" t="n">
        <v>8.06</v>
      </c>
      <c r="J26" s="30" t="n">
        <v>7.54</v>
      </c>
      <c r="K26" s="30">
        <f>Table1[[#This Row],[EXIT]]-Table1[[#This Row],[ENTRY]]</f>
        <v/>
      </c>
      <c r="L26" s="30">
        <f>Table1[[#This Row],[HIGH]]-Table1[[#This Row],[ENTRY]]</f>
        <v/>
      </c>
      <c r="M26" t="inlineStr">
        <is>
          <t>PMH</t>
        </is>
      </c>
      <c r="N26" t="inlineStr">
        <is>
          <t>Failed</t>
        </is>
      </c>
      <c r="O26" s="39" t="n"/>
      <c r="P26" t="inlineStr">
        <is>
          <t>Healthcare Research</t>
        </is>
      </c>
      <c r="Q26" s="31" t="n">
        <v>1940000000</v>
      </c>
      <c r="R26" s="31" t="n">
        <v>275800000</v>
      </c>
      <c r="S26" t="inlineStr">
        <is>
          <t>..\Charts\bngo-20210308.jpg</t>
        </is>
      </c>
    </row>
    <row r="27">
      <c r="A27" t="inlineStr">
        <is>
          <t>BNGO</t>
        </is>
      </c>
      <c r="B27">
        <f>VALUE(YEAR(Table1[[#This Row],[DATE]])&amp;TEXT(WEEKNUM(Table1[[#This Row],[DATE]])-1,"00"))</f>
        <v/>
      </c>
      <c r="C27" s="195" t="n">
        <v>44263</v>
      </c>
      <c r="D27" s="192" t="n">
        <v>0.4069444444444444</v>
      </c>
      <c r="E27" s="30" t="n"/>
      <c r="F27" s="30" t="n"/>
      <c r="G27" s="30" t="n">
        <v>7.84</v>
      </c>
      <c r="I27" s="30" t="n">
        <v>8.949999999999999</v>
      </c>
      <c r="J27" s="30" t="n">
        <v>8.25</v>
      </c>
      <c r="K27" s="30">
        <f>Table1[[#This Row],[EXIT]]-Table1[[#This Row],[ENTRY]]</f>
        <v/>
      </c>
      <c r="L27" s="30">
        <f>Table1[[#This Row],[HIGH]]-Table1[[#This Row],[ENTRY]]</f>
        <v/>
      </c>
      <c r="M27" t="inlineStr">
        <is>
          <t>PMH</t>
        </is>
      </c>
      <c r="N27" t="inlineStr">
        <is>
          <t>5x20</t>
        </is>
      </c>
      <c r="O27" s="39" t="n">
        <v>2</v>
      </c>
      <c r="P27" t="inlineStr">
        <is>
          <t>Healthcare Research</t>
        </is>
      </c>
      <c r="Q27" s="31" t="n">
        <v>1940000000</v>
      </c>
      <c r="R27" s="31" t="n">
        <v>275800000</v>
      </c>
      <c r="S27" t="inlineStr">
        <is>
          <t>..\Charts\bngo-20210308.jpg</t>
        </is>
      </c>
    </row>
    <row r="28">
      <c r="A28" t="inlineStr">
        <is>
          <t>WKHS</t>
        </is>
      </c>
      <c r="B28">
        <f>VALUE(YEAR(Table1[[#This Row],[DATE]])&amp;TEXT(WEEKNUM(Table1[[#This Row],[DATE]])-1,"00"))</f>
        <v/>
      </c>
      <c r="C28" s="195" t="n">
        <v>44263</v>
      </c>
      <c r="D28" s="192" t="n">
        <v>0.4305555555555556</v>
      </c>
      <c r="E28" s="30" t="n"/>
      <c r="F28" s="30" t="n"/>
      <c r="G28" s="30" t="n">
        <v>14.13</v>
      </c>
      <c r="H28" s="30" t="n">
        <v>14</v>
      </c>
      <c r="I28" s="30" t="n">
        <v>17.75</v>
      </c>
      <c r="J28" s="30" t="n">
        <v>15.48</v>
      </c>
      <c r="K28" s="30">
        <f>Table1[[#This Row],[EXIT]]-Table1[[#This Row],[ENTRY]]</f>
        <v/>
      </c>
      <c r="L28" s="30">
        <f>Table1[[#This Row],[HIGH]]-Table1[[#This Row],[ENTRY]]</f>
        <v/>
      </c>
      <c r="M28" t="inlineStr">
        <is>
          <t>PMH</t>
        </is>
      </c>
      <c r="N28" t="inlineStr">
        <is>
          <t>5x20</t>
        </is>
      </c>
      <c r="O28" s="39" t="n">
        <v>2</v>
      </c>
      <c r="P28" t="inlineStr">
        <is>
          <t>Electric Vehicles</t>
        </is>
      </c>
      <c r="Q28" s="31" t="n">
        <v>2030000000</v>
      </c>
      <c r="R28" s="31" t="n">
        <v>112690000</v>
      </c>
    </row>
    <row r="29">
      <c r="A29" t="inlineStr">
        <is>
          <t>EYES</t>
        </is>
      </c>
      <c r="B29">
        <f>VALUE(YEAR(Table1[[#This Row],[DATE]])&amp;TEXT(WEEKNUM(Table1[[#This Row],[DATE]])-1,"00"))</f>
        <v/>
      </c>
      <c r="C29" s="195" t="n">
        <v>44264</v>
      </c>
      <c r="D29" s="192" t="n">
        <v>0.3541666666666667</v>
      </c>
      <c r="E29" s="30" t="n"/>
      <c r="F29" s="30" t="n"/>
      <c r="G29" s="30" t="n">
        <v>8.550000000000001</v>
      </c>
      <c r="I29" s="30" t="n">
        <v>14.7</v>
      </c>
      <c r="J29" s="30" t="n">
        <v>11.5</v>
      </c>
      <c r="K29" s="30">
        <f>Table1[[#This Row],[EXIT]]-Table1[[#This Row],[ENTRY]]</f>
        <v/>
      </c>
      <c r="L29" s="30">
        <f>Table1[[#This Row],[HIGH]]-Table1[[#This Row],[ENTRY]]</f>
        <v/>
      </c>
      <c r="M29" t="inlineStr">
        <is>
          <t>PM Consolidation</t>
        </is>
      </c>
      <c r="N29" t="inlineStr">
        <is>
          <t>5x20</t>
        </is>
      </c>
      <c r="O29" s="39" t="n">
        <v>1</v>
      </c>
      <c r="P29" t="inlineStr">
        <is>
          <t>Medical Devices</t>
        </is>
      </c>
      <c r="Q29" s="31" t="n">
        <v>140540000</v>
      </c>
      <c r="R29" s="31" t="n">
        <v>7960000</v>
      </c>
      <c r="S29" t="inlineStr">
        <is>
          <t>..\Charts\eyes-20210305.jpg</t>
        </is>
      </c>
    </row>
    <row r="30">
      <c r="A30" t="inlineStr">
        <is>
          <t>INVO</t>
        </is>
      </c>
      <c r="B30">
        <f>VALUE(YEAR(Table1[[#This Row],[DATE]])&amp;TEXT(WEEKNUM(Table1[[#This Row],[DATE]])-1,"00"))</f>
        <v/>
      </c>
      <c r="C30" s="195" t="n">
        <v>44264</v>
      </c>
      <c r="D30" s="192" t="n">
        <v>0.3958333333333333</v>
      </c>
      <c r="E30" s="30" t="n"/>
      <c r="F30" s="30" t="n"/>
      <c r="G30" s="30" t="n">
        <v>5.59</v>
      </c>
      <c r="I30" s="30" t="n">
        <v>12.3</v>
      </c>
      <c r="J30" s="30" t="n">
        <v>9.220000000000001</v>
      </c>
      <c r="K30" s="30">
        <f>Table1[[#This Row],[EXIT]]-Table1[[#This Row],[ENTRY]]</f>
        <v/>
      </c>
      <c r="L30" s="30">
        <f>Table1[[#This Row],[HIGH]]-Table1[[#This Row],[ENTRY]]</f>
        <v/>
      </c>
      <c r="M30" t="inlineStr">
        <is>
          <t>PM Consolidation</t>
        </is>
      </c>
      <c r="N30" t="inlineStr">
        <is>
          <t>5x20</t>
        </is>
      </c>
      <c r="O30" s="39" t="n">
        <v>1</v>
      </c>
      <c r="P30" t="inlineStr">
        <is>
          <t>Medical Devices</t>
        </is>
      </c>
      <c r="Q30" s="31" t="n">
        <v>46130000</v>
      </c>
      <c r="R30" s="31" t="n">
        <v>8560000</v>
      </c>
      <c r="S30" t="inlineStr">
        <is>
          <t>..\Charts\invo-20210309.jpg</t>
        </is>
      </c>
    </row>
    <row r="31">
      <c r="A31" t="inlineStr">
        <is>
          <t>XELA</t>
        </is>
      </c>
      <c r="B31">
        <f>VALUE(YEAR(Table1[[#This Row],[DATE]])&amp;TEXT(WEEKNUM(Table1[[#This Row],[DATE]])-1,"00"))</f>
        <v/>
      </c>
      <c r="C31" s="195" t="n">
        <v>44264</v>
      </c>
      <c r="D31" s="192" t="n">
        <v>0.4013888888888889</v>
      </c>
      <c r="E31" s="30" t="n"/>
      <c r="F31" s="30" t="n"/>
      <c r="G31" s="30" t="n">
        <v>2.41</v>
      </c>
      <c r="I31" s="30" t="n">
        <v>5.5</v>
      </c>
      <c r="J31" s="30" t="n">
        <v>4.51</v>
      </c>
      <c r="K31" s="30">
        <f>Table1[[#This Row],[EXIT]]-Table1[[#This Row],[ENTRY]]</f>
        <v/>
      </c>
      <c r="L31" s="30">
        <f>Table1[[#This Row],[HIGH]]-Table1[[#This Row],[ENTRY]]</f>
        <v/>
      </c>
      <c r="M31" t="inlineStr">
        <is>
          <t>PM Consolidation</t>
        </is>
      </c>
      <c r="N31" t="inlineStr">
        <is>
          <t>5x20</t>
        </is>
      </c>
      <c r="O31" s="39" t="n">
        <v>1</v>
      </c>
      <c r="P31" t="inlineStr">
        <is>
          <t>Software</t>
        </is>
      </c>
      <c r="Q31" s="31" t="n">
        <v>134290000</v>
      </c>
      <c r="R31" s="31" t="n">
        <v>35120000</v>
      </c>
      <c r="S31" t="inlineStr">
        <is>
          <t>..\Charts\xela-20210309.jpg</t>
        </is>
      </c>
    </row>
    <row r="32">
      <c r="A32" t="inlineStr">
        <is>
          <t>OCGN</t>
        </is>
      </c>
      <c r="B32">
        <f>VALUE(YEAR(Table1[[#This Row],[DATE]])&amp;TEXT(WEEKNUM(Table1[[#This Row],[DATE]])-1,"00"))</f>
        <v/>
      </c>
      <c r="C32" s="195" t="n">
        <v>44266</v>
      </c>
      <c r="D32" s="192" t="n">
        <v>0.3958333333333333</v>
      </c>
      <c r="E32" s="30" t="n"/>
      <c r="F32" s="30" t="n"/>
      <c r="G32" s="30" t="n">
        <v>8.24</v>
      </c>
      <c r="H32" s="30" t="n">
        <v>8</v>
      </c>
      <c r="I32" s="30" t="n">
        <v>10.65</v>
      </c>
      <c r="J32" s="30" t="n">
        <v>9.69</v>
      </c>
      <c r="K32" s="30">
        <f>Table1[[#This Row],[EXIT]]-Table1[[#This Row],[ENTRY]]</f>
        <v/>
      </c>
      <c r="L32" s="30">
        <f>Table1[[#This Row],[HIGH]]-Table1[[#This Row],[ENTRY]]</f>
        <v/>
      </c>
      <c r="M32" t="inlineStr">
        <is>
          <t>PM Consolidation</t>
        </is>
      </c>
      <c r="N32" t="inlineStr">
        <is>
          <t>5x20</t>
        </is>
      </c>
      <c r="O32" s="39" t="n">
        <v>1</v>
      </c>
      <c r="P32" t="inlineStr">
        <is>
          <t>Biotech</t>
        </is>
      </c>
      <c r="Q32" s="31" t="n">
        <v>1560000000</v>
      </c>
      <c r="R32" s="31" t="n">
        <v>192500000</v>
      </c>
      <c r="S32" t="inlineStr">
        <is>
          <t>..\Charts\ocgn-20210311.jpg</t>
        </is>
      </c>
    </row>
    <row r="33">
      <c r="A33" t="inlineStr">
        <is>
          <t>ENTX</t>
        </is>
      </c>
      <c r="B33">
        <f>VALUE(YEAR(Table1[[#This Row],[DATE]])&amp;TEXT(WEEKNUM(Table1[[#This Row],[DATE]])-1,"00"))</f>
        <v/>
      </c>
      <c r="C33" s="195" t="n">
        <v>44266</v>
      </c>
      <c r="D33" s="192" t="n">
        <v>0.4013888888888889</v>
      </c>
      <c r="E33" s="30" t="n"/>
      <c r="F33" s="30" t="n"/>
      <c r="G33" s="30" t="n">
        <v>5.25</v>
      </c>
      <c r="I33" s="30" t="n">
        <v>5.79</v>
      </c>
      <c r="J33" s="30" t="n">
        <v>4.95</v>
      </c>
      <c r="K33" s="30">
        <f>Table1[[#This Row],[EXIT]]-Table1[[#This Row],[ENTRY]]</f>
        <v/>
      </c>
      <c r="L33" s="30">
        <f>Table1[[#This Row],[HIGH]]-Table1[[#This Row],[ENTRY]]</f>
        <v/>
      </c>
      <c r="M33" t="inlineStr">
        <is>
          <t>PMH</t>
        </is>
      </c>
      <c r="N33" t="inlineStr">
        <is>
          <t>Failed</t>
        </is>
      </c>
      <c r="O33" s="39" t="n"/>
      <c r="P33" t="inlineStr">
        <is>
          <t>Biotech</t>
        </is>
      </c>
      <c r="Q33" s="31" t="n">
        <v>145550000</v>
      </c>
      <c r="R33" s="31" t="n">
        <v>16720000</v>
      </c>
      <c r="S33" t="inlineStr">
        <is>
          <t>..\Charts\entx-20210311.jpg</t>
        </is>
      </c>
    </row>
    <row r="34">
      <c r="A34" t="inlineStr">
        <is>
          <t>ENTX</t>
        </is>
      </c>
      <c r="B34">
        <f>VALUE(YEAR(Table1[[#This Row],[DATE]])&amp;TEXT(WEEKNUM(Table1[[#This Row],[DATE]])-1,"00"))</f>
        <v/>
      </c>
      <c r="C34" s="195" t="n">
        <v>44266</v>
      </c>
      <c r="D34" s="192" t="n">
        <v>0.4395833333333333</v>
      </c>
      <c r="E34" s="30" t="n"/>
      <c r="F34" s="30" t="n"/>
      <c r="G34" s="30" t="n">
        <v>6.22</v>
      </c>
      <c r="I34" s="30" t="n">
        <v>7.87</v>
      </c>
      <c r="J34" s="30" t="n">
        <v>6.6</v>
      </c>
      <c r="K34" s="30">
        <f>Table1[[#This Row],[EXIT]]-Table1[[#This Row],[ENTRY]]</f>
        <v/>
      </c>
      <c r="L34" s="30">
        <f>Table1[[#This Row],[HIGH]]-Table1[[#This Row],[ENTRY]]</f>
        <v/>
      </c>
      <c r="M34" t="inlineStr">
        <is>
          <t>Consolidation</t>
        </is>
      </c>
      <c r="N34" t="inlineStr">
        <is>
          <t>5x20</t>
        </is>
      </c>
      <c r="O34" s="39" t="n">
        <v>2</v>
      </c>
      <c r="P34" t="inlineStr">
        <is>
          <t>Biotech</t>
        </is>
      </c>
      <c r="Q34" s="31" t="n">
        <v>145550000</v>
      </c>
      <c r="R34" s="31" t="n">
        <v>16720000</v>
      </c>
      <c r="S34" t="inlineStr">
        <is>
          <t>..\Charts\entx-20210311.jpg</t>
        </is>
      </c>
    </row>
    <row r="35">
      <c r="A35" t="inlineStr">
        <is>
          <t>ENTX</t>
        </is>
      </c>
      <c r="B35">
        <f>VALUE(YEAR(Table1[[#This Row],[DATE]])&amp;TEXT(WEEKNUM(Table1[[#This Row],[DATE]])-1,"00"))</f>
        <v/>
      </c>
      <c r="C35" s="195" t="n">
        <v>44267</v>
      </c>
      <c r="D35" s="192" t="n">
        <v>0.3986111111111111</v>
      </c>
      <c r="E35" s="30" t="n"/>
      <c r="F35" s="30" t="n"/>
      <c r="G35" s="30" t="n">
        <v>6.5</v>
      </c>
      <c r="I35" s="30" t="n">
        <v>10.16</v>
      </c>
      <c r="J35" s="30" t="n">
        <v>8.300000000000001</v>
      </c>
      <c r="K35" s="30">
        <f>Table1[[#This Row],[EXIT]]-Table1[[#This Row],[ENTRY]]</f>
        <v/>
      </c>
      <c r="L35" s="30">
        <f>Table1[[#This Row],[HIGH]]-Table1[[#This Row],[ENTRY]]</f>
        <v/>
      </c>
      <c r="M35" t="inlineStr">
        <is>
          <t>PMH</t>
        </is>
      </c>
      <c r="N35" t="inlineStr">
        <is>
          <t>Profit</t>
        </is>
      </c>
      <c r="O35" s="39" t="n">
        <v>1</v>
      </c>
      <c r="P35" t="inlineStr">
        <is>
          <t>Biotech</t>
        </is>
      </c>
      <c r="Q35" s="31" t="n">
        <v>145550000</v>
      </c>
      <c r="R35" s="31" t="n">
        <v>16720000</v>
      </c>
      <c r="S35" t="inlineStr">
        <is>
          <t>..\Charts\entx-20210312.jpg</t>
        </is>
      </c>
    </row>
    <row r="36">
      <c r="A36" t="inlineStr">
        <is>
          <t>EBON</t>
        </is>
      </c>
      <c r="B36">
        <f>VALUE(YEAR(Table1[[#This Row],[DATE]])&amp;TEXT(WEEKNUM(Table1[[#This Row],[DATE]])-1,"00"))</f>
        <v/>
      </c>
      <c r="C36" s="195" t="n">
        <v>44267</v>
      </c>
      <c r="D36" s="192" t="n">
        <v>0.4097222222222222</v>
      </c>
      <c r="E36" s="30" t="n"/>
      <c r="F36" s="30" t="n"/>
      <c r="G36" s="30" t="n">
        <v>7.85</v>
      </c>
      <c r="I36" s="30" t="n">
        <v>11.31</v>
      </c>
      <c r="J36" s="30" t="n">
        <v>10.34</v>
      </c>
      <c r="K36" s="30">
        <f>Table1[[#This Row],[EXIT]]-Table1[[#This Row],[ENTRY]]</f>
        <v/>
      </c>
      <c r="L36" s="30">
        <f>Table1[[#This Row],[HIGH]]-Table1[[#This Row],[ENTRY]]</f>
        <v/>
      </c>
      <c r="M36" t="inlineStr">
        <is>
          <t>PM Consolidation</t>
        </is>
      </c>
      <c r="N36" t="inlineStr">
        <is>
          <t>5x20</t>
        </is>
      </c>
      <c r="O36" s="39" t="n">
        <v>1</v>
      </c>
      <c r="P36" t="inlineStr">
        <is>
          <t>Computer Hardware</t>
        </is>
      </c>
      <c r="Q36" s="31" t="n">
        <v>428770000</v>
      </c>
      <c r="R36" s="31" t="n">
        <v>129340000</v>
      </c>
      <c r="S36" t="inlineStr">
        <is>
          <t>..\Charts\ebon-20210312.jpg</t>
        </is>
      </c>
    </row>
    <row r="37">
      <c r="A37" t="inlineStr">
        <is>
          <t>AMC</t>
        </is>
      </c>
      <c r="B37">
        <f>VALUE(YEAR(Table1[[#This Row],[DATE]])&amp;TEXT(WEEKNUM(Table1[[#This Row],[DATE]])-1,"00"))</f>
        <v/>
      </c>
      <c r="C37" s="195" t="n">
        <v>44270</v>
      </c>
      <c r="D37" s="192" t="n">
        <v>0.3972222222222222</v>
      </c>
      <c r="E37" s="30" t="n"/>
      <c r="F37" s="30" t="n"/>
      <c r="G37" s="30" t="n">
        <v>12.41</v>
      </c>
      <c r="I37" s="30" t="n">
        <v>14.49</v>
      </c>
      <c r="J37" s="30" t="n">
        <v>13.94</v>
      </c>
      <c r="K37" s="30">
        <f>Table1[[#This Row],[EXIT]]-Table1[[#This Row],[ENTRY]]</f>
        <v/>
      </c>
      <c r="L37" s="30">
        <f>Table1[[#This Row],[HIGH]]-Table1[[#This Row],[ENTRY]]</f>
        <v/>
      </c>
      <c r="M37" t="inlineStr">
        <is>
          <t>PMH</t>
        </is>
      </c>
      <c r="N37" t="inlineStr">
        <is>
          <t>5x20</t>
        </is>
      </c>
      <c r="O37" s="39" t="n">
        <v>1</v>
      </c>
      <c r="P37" t="inlineStr">
        <is>
          <t>Entertainment</t>
        </is>
      </c>
      <c r="Q37" s="31" t="n">
        <v>29830000000</v>
      </c>
      <c r="R37" s="31" t="n">
        <v>448560000</v>
      </c>
      <c r="S37" t="inlineStr">
        <is>
          <t>..\Charts\amc-20210315.jpg</t>
        </is>
      </c>
    </row>
    <row r="38">
      <c r="A38" t="inlineStr">
        <is>
          <t>SSY</t>
        </is>
      </c>
      <c r="B38">
        <f>VALUE(YEAR(Table1[[#This Row],[DATE]])&amp;TEXT(WEEKNUM(Table1[[#This Row],[DATE]])-1,"00"))</f>
        <v/>
      </c>
      <c r="C38" s="195" t="n">
        <v>44271</v>
      </c>
      <c r="D38" s="192" t="n">
        <v>0.3958333333333333</v>
      </c>
      <c r="E38" s="30" t="n"/>
      <c r="F38" s="30" t="n"/>
      <c r="G38" s="30" t="n">
        <v>3.42</v>
      </c>
      <c r="I38" s="30" t="n">
        <v>7.54</v>
      </c>
      <c r="J38" s="30" t="n">
        <v>6.32</v>
      </c>
      <c r="K38" s="30">
        <f>Table1[[#This Row],[EXIT]]-Table1[[#This Row],[ENTRY]]</f>
        <v/>
      </c>
      <c r="L38" s="30">
        <f>Table1[[#This Row],[HIGH]]-Table1[[#This Row],[ENTRY]]</f>
        <v/>
      </c>
      <c r="M38" t="inlineStr">
        <is>
          <t>Pivot</t>
        </is>
      </c>
      <c r="N38" t="inlineStr">
        <is>
          <t>5x20</t>
        </is>
      </c>
      <c r="O38" s="39" t="n">
        <v>1</v>
      </c>
      <c r="P38" t="inlineStr">
        <is>
          <t>Healthcare</t>
        </is>
      </c>
      <c r="Q38" s="31" t="n">
        <v>18760000</v>
      </c>
      <c r="R38" s="31" t="n">
        <v>4540000</v>
      </c>
      <c r="S38" t="inlineStr">
        <is>
          <t>..\Charts\ssy-20210316.jpg</t>
        </is>
      </c>
    </row>
    <row r="39">
      <c r="A39" t="inlineStr">
        <is>
          <t>SVRA</t>
        </is>
      </c>
      <c r="B39">
        <f>VALUE(YEAR(Table1[[#This Row],[DATE]])&amp;TEXT(WEEKNUM(Table1[[#This Row],[DATE]])-1,"00"))</f>
        <v/>
      </c>
      <c r="C39" s="195" t="n">
        <v>44271</v>
      </c>
      <c r="D39" s="192" t="n">
        <v>0.3972222222222222</v>
      </c>
      <c r="E39" s="30" t="n"/>
      <c r="F39" s="30" t="n"/>
      <c r="G39" s="30" t="n">
        <v>2.33</v>
      </c>
      <c r="I39" s="30" t="n">
        <v>3.58</v>
      </c>
      <c r="J39" s="30" t="n">
        <v>2.53</v>
      </c>
      <c r="K39" s="30">
        <f>Table1[[#This Row],[EXIT]]-Table1[[#This Row],[ENTRY]]</f>
        <v/>
      </c>
      <c r="L39" s="30">
        <f>Table1[[#This Row],[HIGH]]-Table1[[#This Row],[ENTRY]]</f>
        <v/>
      </c>
      <c r="M39" t="inlineStr">
        <is>
          <t>PM Consolidation</t>
        </is>
      </c>
      <c r="N39" t="inlineStr">
        <is>
          <t>5x20</t>
        </is>
      </c>
      <c r="O39" s="39" t="n">
        <v>1</v>
      </c>
      <c r="P39" t="inlineStr">
        <is>
          <t>Biotech</t>
        </is>
      </c>
      <c r="Q39" s="31" t="n">
        <v>188820000</v>
      </c>
      <c r="R39" s="31" t="n">
        <v>59800000</v>
      </c>
      <c r="S39" t="inlineStr">
        <is>
          <t>..\Charts\svra-20210316.jpg</t>
        </is>
      </c>
    </row>
    <row r="40">
      <c r="A40" t="inlineStr">
        <is>
          <t>OCG</t>
        </is>
      </c>
      <c r="B40">
        <f>VALUE(YEAR(Table1[[#This Row],[DATE]])&amp;TEXT(WEEKNUM(Table1[[#This Row],[DATE]])-1,"00"))</f>
        <v/>
      </c>
      <c r="C40" s="195" t="n">
        <v>44272</v>
      </c>
      <c r="D40" s="192" t="n">
        <v>0.4625</v>
      </c>
      <c r="E40" s="30" t="n"/>
      <c r="F40" s="30" t="n"/>
      <c r="G40" s="30" t="n">
        <v>6.31</v>
      </c>
      <c r="I40" s="30" t="n">
        <v>9.6</v>
      </c>
      <c r="J40" s="30" t="n">
        <v>8.609999999999999</v>
      </c>
      <c r="K40" s="30">
        <f>Table1[[#This Row],[EXIT]]-Table1[[#This Row],[ENTRY]]</f>
        <v/>
      </c>
      <c r="L40" s="30">
        <f>Table1[[#This Row],[HIGH]]-Table1[[#This Row],[ENTRY]]</f>
        <v/>
      </c>
      <c r="M40" t="inlineStr">
        <is>
          <t>HOD</t>
        </is>
      </c>
      <c r="N40" t="inlineStr">
        <is>
          <t>5x20</t>
        </is>
      </c>
      <c r="O40" s="39" t="n">
        <v>1</v>
      </c>
      <c r="P40" t="inlineStr">
        <is>
          <t>Internet Retail</t>
        </is>
      </c>
      <c r="Q40" s="31" t="n">
        <v>99290000</v>
      </c>
      <c r="R40" s="31" t="n">
        <v>14320000</v>
      </c>
    </row>
    <row r="41">
      <c r="A41" t="inlineStr">
        <is>
          <t>TKAT</t>
        </is>
      </c>
      <c r="B41">
        <f>VALUE(YEAR(Table1[[#This Row],[DATE]])&amp;TEXT(WEEKNUM(Table1[[#This Row],[DATE]])-1,"00"))</f>
        <v/>
      </c>
      <c r="C41" s="195" t="n">
        <v>44272</v>
      </c>
      <c r="D41" s="192" t="n">
        <v>0.4680555555555556</v>
      </c>
      <c r="E41" s="30" t="n"/>
      <c r="F41" s="30" t="n"/>
      <c r="G41" s="30" t="n">
        <v>6.06</v>
      </c>
      <c r="I41" s="30" t="n">
        <v>17.95</v>
      </c>
      <c r="J41" s="30" t="n">
        <v>13.5</v>
      </c>
      <c r="K41" s="30">
        <f>Table1[[#This Row],[EXIT]]-Table1[[#This Row],[ENTRY]]</f>
        <v/>
      </c>
      <c r="L41" s="30">
        <f>Table1[[#This Row],[HIGH]]-Table1[[#This Row],[ENTRY]]</f>
        <v/>
      </c>
      <c r="M41" t="inlineStr">
        <is>
          <t>PM Consolidation</t>
        </is>
      </c>
      <c r="N41" t="inlineStr">
        <is>
          <t>Profit</t>
        </is>
      </c>
      <c r="O41" s="39" t="n">
        <v>1</v>
      </c>
      <c r="P41" t="inlineStr">
        <is>
          <t>Internet Retail</t>
        </is>
      </c>
      <c r="Q41" s="31" t="n">
        <v>195900000</v>
      </c>
      <c r="R41" s="31" t="n">
        <v>6420000</v>
      </c>
      <c r="S41" t="inlineStr">
        <is>
          <t>..\Charts\tkat-20210317.jpg</t>
        </is>
      </c>
    </row>
    <row r="42">
      <c r="A42" t="inlineStr">
        <is>
          <t>OCG</t>
        </is>
      </c>
      <c r="B42">
        <f>VALUE(YEAR(Table1[[#This Row],[DATE]])&amp;TEXT(WEEKNUM(Table1[[#This Row],[DATE]])-1,"00"))</f>
        <v/>
      </c>
      <c r="C42" s="195" t="n">
        <v>44273</v>
      </c>
      <c r="D42" s="192" t="n">
        <v>0.34375</v>
      </c>
      <c r="E42" s="30" t="n"/>
      <c r="F42" s="30" t="n"/>
      <c r="G42" s="30" t="n">
        <v>11.24</v>
      </c>
      <c r="I42" s="30" t="n">
        <v>17</v>
      </c>
      <c r="J42" s="30" t="n">
        <v>12.79</v>
      </c>
      <c r="K42" s="30">
        <f>Table1[[#This Row],[EXIT]]-Table1[[#This Row],[ENTRY]]</f>
        <v/>
      </c>
      <c r="L42" s="30">
        <f>Table1[[#This Row],[HIGH]]-Table1[[#This Row],[ENTRY]]</f>
        <v/>
      </c>
      <c r="M42" t="inlineStr">
        <is>
          <t>PMH</t>
        </is>
      </c>
      <c r="N42" t="inlineStr">
        <is>
          <t>5x20</t>
        </is>
      </c>
      <c r="O42" s="39" t="n"/>
      <c r="P42" t="inlineStr">
        <is>
          <t>Internet Retail</t>
        </is>
      </c>
      <c r="Q42" s="31" t="n">
        <v>99290000</v>
      </c>
      <c r="R42" s="31" t="n">
        <v>14320000</v>
      </c>
      <c r="S42" t="inlineStr">
        <is>
          <t>..\Charts\ocg-20210318.jpg</t>
        </is>
      </c>
    </row>
    <row r="43">
      <c r="A43" t="inlineStr">
        <is>
          <t>EXPR</t>
        </is>
      </c>
      <c r="B43">
        <f>VALUE(YEAR(Table1[[#This Row],[DATE]])&amp;TEXT(WEEKNUM(Table1[[#This Row],[DATE]])-1,"00"))</f>
        <v/>
      </c>
      <c r="C43" s="195" t="n">
        <v>44273</v>
      </c>
      <c r="D43" s="192" t="n">
        <v>0.3958333333333333</v>
      </c>
      <c r="E43" s="30" t="n"/>
      <c r="F43" s="30" t="n"/>
      <c r="G43" s="30" t="n">
        <v>4.86</v>
      </c>
      <c r="I43" s="30" t="n">
        <v>6.34</v>
      </c>
      <c r="J43" s="30" t="n">
        <v>5.63</v>
      </c>
      <c r="K43" s="30">
        <f>Table1[[#This Row],[EXIT]]-Table1[[#This Row],[ENTRY]]</f>
        <v/>
      </c>
      <c r="L43" s="30">
        <f>Table1[[#This Row],[HIGH]]-Table1[[#This Row],[ENTRY]]</f>
        <v/>
      </c>
      <c r="M43" t="inlineStr">
        <is>
          <t>PM Consolidation</t>
        </is>
      </c>
      <c r="N43" t="inlineStr">
        <is>
          <t>5x20</t>
        </is>
      </c>
      <c r="O43" s="39" t="n">
        <v>1</v>
      </c>
      <c r="P43" t="inlineStr">
        <is>
          <t>Retail</t>
        </is>
      </c>
      <c r="Q43" s="31" t="n">
        <v>346630000</v>
      </c>
      <c r="R43" s="31" t="n">
        <v>64380000</v>
      </c>
      <c r="S43" t="inlineStr">
        <is>
          <t>..\Charts\expr-20210318.jpg</t>
        </is>
      </c>
    </row>
    <row r="44">
      <c r="A44" t="inlineStr">
        <is>
          <t>JFIN</t>
        </is>
      </c>
      <c r="B44">
        <f>VALUE(YEAR(Table1[[#This Row],[DATE]])&amp;TEXT(WEEKNUM(Table1[[#This Row],[DATE]])-1,"00"))</f>
        <v/>
      </c>
      <c r="C44" s="195" t="n">
        <v>44273</v>
      </c>
      <c r="D44" s="192" t="n">
        <v>0.3972222222222222</v>
      </c>
      <c r="E44" s="30" t="n"/>
      <c r="F44" s="30" t="n"/>
      <c r="G44" s="30" t="n">
        <v>5.5</v>
      </c>
      <c r="I44" s="30" t="n">
        <v>13.61</v>
      </c>
      <c r="J44" s="30" t="n">
        <v>12.7</v>
      </c>
      <c r="K44" s="30">
        <f>Table1[[#This Row],[EXIT]]-Table1[[#This Row],[ENTRY]]</f>
        <v/>
      </c>
      <c r="L44" s="30">
        <f>Table1[[#This Row],[HIGH]]-Table1[[#This Row],[ENTRY]]</f>
        <v/>
      </c>
      <c r="M44" t="inlineStr">
        <is>
          <t>PM Consolidation</t>
        </is>
      </c>
      <c r="N44" t="inlineStr">
        <is>
          <t>Profit</t>
        </is>
      </c>
      <c r="O44" s="39" t="n">
        <v>1</v>
      </c>
      <c r="P44" t="inlineStr">
        <is>
          <t>Communications</t>
        </is>
      </c>
      <c r="Q44" s="31" t="n">
        <v>285820000</v>
      </c>
      <c r="R44" s="31" t="n">
        <v>26750000</v>
      </c>
      <c r="S44" t="inlineStr">
        <is>
          <t>..\Charts\jfin-20210318.jpg</t>
        </is>
      </c>
    </row>
    <row r="45">
      <c r="A45" t="inlineStr">
        <is>
          <t>CLVS</t>
        </is>
      </c>
      <c r="B45">
        <f>VALUE(YEAR(Table1[[#This Row],[DATE]])&amp;TEXT(WEEKNUM(Table1[[#This Row],[DATE]])-1,"00"))</f>
        <v/>
      </c>
      <c r="C45" s="195" t="n">
        <v>44274</v>
      </c>
      <c r="D45" s="192" t="n">
        <v>0.3958333333333333</v>
      </c>
      <c r="E45" s="30" t="n"/>
      <c r="F45" s="30" t="n"/>
      <c r="G45" s="30" t="n">
        <v>6.5</v>
      </c>
      <c r="I45" s="30" t="n">
        <v>8.42</v>
      </c>
      <c r="J45" s="30" t="n">
        <v>7.59</v>
      </c>
      <c r="K45" s="30">
        <f>Table1[[#This Row],[EXIT]]-Table1[[#This Row],[ENTRY]]</f>
        <v/>
      </c>
      <c r="L45" s="30">
        <f>Table1[[#This Row],[HIGH]]-Table1[[#This Row],[ENTRY]]</f>
        <v/>
      </c>
      <c r="M45" t="inlineStr">
        <is>
          <t>PMH</t>
        </is>
      </c>
      <c r="N45" t="inlineStr">
        <is>
          <t>5x20</t>
        </is>
      </c>
      <c r="O45" s="39" t="n">
        <v>1</v>
      </c>
      <c r="P45" t="inlineStr">
        <is>
          <t>Biotech</t>
        </is>
      </c>
      <c r="Q45" s="31" t="n">
        <v>583310000</v>
      </c>
      <c r="R45" s="31" t="n">
        <v>102640000</v>
      </c>
      <c r="S45" t="inlineStr">
        <is>
          <t>..\Charts\clvs-20210319.jpg</t>
        </is>
      </c>
    </row>
    <row r="46">
      <c r="A46" t="inlineStr">
        <is>
          <t>SLGG</t>
        </is>
      </c>
      <c r="B46">
        <f>VALUE(YEAR(Table1[[#This Row],[DATE]])&amp;TEXT(WEEKNUM(Table1[[#This Row],[DATE]])-1,"00"))</f>
        <v/>
      </c>
      <c r="C46" s="195" t="n">
        <v>44274</v>
      </c>
      <c r="D46" s="192" t="n">
        <v>0.4</v>
      </c>
      <c r="E46" s="30" t="n"/>
      <c r="F46" s="30" t="n"/>
      <c r="G46" s="30" t="n">
        <v>9.44</v>
      </c>
      <c r="I46" s="30" t="n">
        <v>11.12</v>
      </c>
      <c r="J46" s="30" t="n">
        <v>10.4</v>
      </c>
      <c r="K46" s="30">
        <f>Table1[[#This Row],[EXIT]]-Table1[[#This Row],[ENTRY]]</f>
        <v/>
      </c>
      <c r="L46" s="30">
        <f>Table1[[#This Row],[HIGH]]-Table1[[#This Row],[ENTRY]]</f>
        <v/>
      </c>
      <c r="M46" t="inlineStr">
        <is>
          <t>PMH</t>
        </is>
      </c>
      <c r="N46" t="inlineStr">
        <is>
          <t>5x20</t>
        </is>
      </c>
      <c r="O46" s="39" t="n">
        <v>1</v>
      </c>
      <c r="P46" t="inlineStr">
        <is>
          <t>Electronic Gaming</t>
        </is>
      </c>
      <c r="Q46" s="31" t="n">
        <v>124020000</v>
      </c>
      <c r="R46" s="31" t="n">
        <v>21760000</v>
      </c>
    </row>
    <row r="47">
      <c r="A47" t="inlineStr">
        <is>
          <t>JFIN</t>
        </is>
      </c>
      <c r="B47">
        <f>VALUE(YEAR(Table1[[#This Row],[DATE]])&amp;TEXT(WEEKNUM(Table1[[#This Row],[DATE]])-1,"00"))</f>
        <v/>
      </c>
      <c r="C47" s="195" t="n">
        <v>44277</v>
      </c>
      <c r="D47" s="192" t="n">
        <v>0.4194444444444445</v>
      </c>
      <c r="E47" s="30" t="n"/>
      <c r="F47" s="30" t="n"/>
      <c r="G47" s="30" t="n">
        <v>7.92</v>
      </c>
      <c r="I47" s="30" t="n">
        <v>12.75</v>
      </c>
      <c r="J47" s="30" t="n">
        <v>11.32</v>
      </c>
      <c r="K47" s="30">
        <f>Table1[[#This Row],[EXIT]]-Table1[[#This Row],[ENTRY]]</f>
        <v/>
      </c>
      <c r="L47" s="30">
        <f>Table1[[#This Row],[HIGH]]-Table1[[#This Row],[ENTRY]]</f>
        <v/>
      </c>
      <c r="M47" t="inlineStr">
        <is>
          <t>PM Consolidation</t>
        </is>
      </c>
      <c r="N47" t="inlineStr">
        <is>
          <t>5x20</t>
        </is>
      </c>
      <c r="O47" s="39" t="n">
        <v>1</v>
      </c>
      <c r="P47" t="inlineStr">
        <is>
          <t>Communications</t>
        </is>
      </c>
      <c r="Q47" s="31" t="n">
        <v>285820000</v>
      </c>
      <c r="R47" s="31" t="n">
        <v>26750000</v>
      </c>
      <c r="S47" t="inlineStr">
        <is>
          <t>..\Charts\jfin-20210322.jpg</t>
        </is>
      </c>
    </row>
    <row r="48">
      <c r="A48" t="inlineStr">
        <is>
          <t>YVR</t>
        </is>
      </c>
      <c r="B48">
        <f>VALUE(YEAR(Table1[[#This Row],[DATE]])&amp;TEXT(WEEKNUM(Table1[[#This Row],[DATE]])-1,"00"))</f>
        <v/>
      </c>
      <c r="C48" s="195" t="n">
        <v>44278</v>
      </c>
      <c r="D48" s="192" t="n">
        <v>0.3972222222222222</v>
      </c>
      <c r="E48" s="30" t="n"/>
      <c r="F48" s="30" t="n"/>
      <c r="G48" s="30" t="n">
        <v>5.9</v>
      </c>
      <c r="I48" s="30" t="n">
        <v>7.5</v>
      </c>
      <c r="J48" s="30" t="n">
        <v>6.38</v>
      </c>
      <c r="K48" s="30">
        <f>Table1[[#This Row],[EXIT]]-Table1[[#This Row],[ENTRY]]</f>
        <v/>
      </c>
      <c r="L48" s="30">
        <f>Table1[[#This Row],[HIGH]]-Table1[[#This Row],[ENTRY]]</f>
        <v/>
      </c>
      <c r="M48" t="inlineStr">
        <is>
          <t>PMH</t>
        </is>
      </c>
      <c r="N48" t="inlineStr">
        <is>
          <t>5x20</t>
        </is>
      </c>
      <c r="O48" s="39" t="n">
        <v>1</v>
      </c>
      <c r="P48" t="inlineStr">
        <is>
          <t>Electronic Gaming</t>
        </is>
      </c>
      <c r="Q48" s="31" t="n">
        <v>22790000</v>
      </c>
      <c r="R48" s="31" t="n">
        <v>13460000</v>
      </c>
    </row>
    <row r="49">
      <c r="A49" t="inlineStr">
        <is>
          <t>AMC</t>
        </is>
      </c>
      <c r="B49">
        <f>VALUE(YEAR(Table1[[#This Row],[DATE]])&amp;TEXT(WEEKNUM(Table1[[#This Row],[DATE]])-1,"00"))</f>
        <v/>
      </c>
      <c r="C49" s="195" t="n">
        <v>44280</v>
      </c>
      <c r="D49" s="192" t="n">
        <v>0.3972222222222222</v>
      </c>
      <c r="E49" s="30" t="n"/>
      <c r="F49" s="30" t="n"/>
      <c r="G49" s="30" t="n">
        <v>9.050000000000001</v>
      </c>
      <c r="I49" s="30" t="n">
        <v>11.23</v>
      </c>
      <c r="J49" s="30" t="n">
        <v>10.65</v>
      </c>
      <c r="K49" s="30">
        <f>Table1[[#This Row],[EXIT]]-Table1[[#This Row],[ENTRY]]</f>
        <v/>
      </c>
      <c r="L49" s="30">
        <f>Table1[[#This Row],[HIGH]]-Table1[[#This Row],[ENTRY]]</f>
        <v/>
      </c>
      <c r="M49" t="inlineStr">
        <is>
          <t>Daily</t>
        </is>
      </c>
      <c r="N49" t="inlineStr">
        <is>
          <t>5x20</t>
        </is>
      </c>
      <c r="O49" s="39" t="n">
        <v>1</v>
      </c>
      <c r="P49" t="inlineStr">
        <is>
          <t>Entertainment</t>
        </is>
      </c>
      <c r="Q49" s="31" t="n">
        <v>29830000000</v>
      </c>
      <c r="R49" s="31" t="n">
        <v>448560000</v>
      </c>
      <c r="S49" t="inlineStr">
        <is>
          <t>..\Charts\amc-20210325.jpg</t>
        </is>
      </c>
    </row>
    <row r="50">
      <c r="A50" t="inlineStr">
        <is>
          <t>KOSS</t>
        </is>
      </c>
      <c r="B50">
        <f>VALUE(YEAR(Table1[[#This Row],[DATE]])&amp;TEXT(WEEKNUM(Table1[[#This Row],[DATE]])-1,"00"))</f>
        <v/>
      </c>
      <c r="C50" s="195" t="n">
        <v>44280</v>
      </c>
      <c r="D50" s="192" t="n">
        <v>0.4333333333333333</v>
      </c>
      <c r="E50" s="30" t="n"/>
      <c r="F50" s="30" t="n"/>
      <c r="G50" s="30" t="n">
        <v>19.06</v>
      </c>
      <c r="I50" s="30" t="n">
        <v>26</v>
      </c>
      <c r="J50" s="30" t="n">
        <v>22.57</v>
      </c>
      <c r="K50" s="30">
        <f>Table1[[#This Row],[EXIT]]-Table1[[#This Row],[ENTRY]]</f>
        <v/>
      </c>
      <c r="L50" s="30">
        <f>Table1[[#This Row],[HIGH]]-Table1[[#This Row],[ENTRY]]</f>
        <v/>
      </c>
      <c r="M50" t="inlineStr">
        <is>
          <t>PMH</t>
        </is>
      </c>
      <c r="N50" t="inlineStr">
        <is>
          <t>5x20</t>
        </is>
      </c>
      <c r="O50" s="39" t="n">
        <v>1</v>
      </c>
      <c r="P50" t="inlineStr">
        <is>
          <t>Consumer Electronics</t>
        </is>
      </c>
      <c r="Q50" s="31" t="n">
        <v>188310000</v>
      </c>
      <c r="R50" s="31" t="n">
        <v>2570000</v>
      </c>
      <c r="S50" t="inlineStr">
        <is>
          <t>..\Charts\koss-20210325.jpg</t>
        </is>
      </c>
    </row>
    <row r="51">
      <c r="A51" t="inlineStr">
        <is>
          <t>CLEU</t>
        </is>
      </c>
      <c r="B51">
        <f>VALUE(YEAR(Table1[[#This Row],[DATE]])&amp;TEXT(WEEKNUM(Table1[[#This Row],[DATE]])-1,"00"))</f>
        <v/>
      </c>
      <c r="C51" s="195" t="n">
        <v>44281</v>
      </c>
      <c r="D51" s="192" t="n">
        <v>0.3958333333333333</v>
      </c>
      <c r="E51" s="30" t="n"/>
      <c r="F51" s="30" t="n"/>
      <c r="G51" s="30" t="n">
        <v>4.59</v>
      </c>
      <c r="I51" s="30" t="n">
        <v>7.58</v>
      </c>
      <c r="J51" s="30" t="n">
        <v>5.41</v>
      </c>
      <c r="K51" s="30">
        <f>Table1[[#This Row],[EXIT]]-Table1[[#This Row],[ENTRY]]</f>
        <v/>
      </c>
      <c r="L51" s="30">
        <f>Table1[[#This Row],[HIGH]]-Table1[[#This Row],[ENTRY]]</f>
        <v/>
      </c>
      <c r="M51" t="inlineStr">
        <is>
          <t>PM Consolidation</t>
        </is>
      </c>
      <c r="N51" t="inlineStr">
        <is>
          <t>5x20</t>
        </is>
      </c>
      <c r="O51" s="39" t="n">
        <v>1</v>
      </c>
      <c r="P51" t="inlineStr">
        <is>
          <t>Education</t>
        </is>
      </c>
      <c r="Q51" s="31" t="n">
        <v>38900000</v>
      </c>
      <c r="R51" s="31" t="n">
        <v>8710000</v>
      </c>
      <c r="S51" t="inlineStr">
        <is>
          <t>..\Charts\cleu-20210326.jpg</t>
        </is>
      </c>
    </row>
    <row r="52">
      <c r="A52" t="inlineStr">
        <is>
          <t>WAFU</t>
        </is>
      </c>
      <c r="B52">
        <f>VALUE(YEAR(Table1[[#This Row],[DATE]])&amp;TEXT(WEEKNUM(Table1[[#This Row],[DATE]])-1,"00"))</f>
        <v/>
      </c>
      <c r="C52" s="195" t="n">
        <v>44281</v>
      </c>
      <c r="D52" s="192" t="n">
        <v>0.3958333333333333</v>
      </c>
      <c r="E52" s="30" t="n"/>
      <c r="F52" s="30" t="n"/>
      <c r="G52" s="30" t="n">
        <v>9</v>
      </c>
      <c r="I52" s="30" t="n">
        <v>20.64</v>
      </c>
      <c r="J52" s="30" t="n">
        <v>19.3</v>
      </c>
      <c r="K52" s="30">
        <f>Table1[[#This Row],[EXIT]]-Table1[[#This Row],[ENTRY]]</f>
        <v/>
      </c>
      <c r="L52" s="30">
        <f>Table1[[#This Row],[HIGH]]-Table1[[#This Row],[ENTRY]]</f>
        <v/>
      </c>
      <c r="M52" t="inlineStr">
        <is>
          <t>PM Consolidation</t>
        </is>
      </c>
      <c r="N52" t="inlineStr">
        <is>
          <t>Profit</t>
        </is>
      </c>
      <c r="O52" s="39" t="n">
        <v>1</v>
      </c>
      <c r="P52" t="inlineStr">
        <is>
          <t>Education</t>
        </is>
      </c>
      <c r="Q52" s="31" t="n">
        <v>39150000</v>
      </c>
      <c r="R52" s="31" t="n">
        <v>1180000</v>
      </c>
      <c r="S52" t="inlineStr">
        <is>
          <t>..\Charts\wafu-20210326.jpg</t>
        </is>
      </c>
    </row>
    <row r="53">
      <c r="A53" t="inlineStr">
        <is>
          <t>PFMT</t>
        </is>
      </c>
      <c r="B53">
        <f>VALUE(YEAR(Table1[[#This Row],[DATE]])&amp;TEXT(WEEKNUM(Table1[[#This Row],[DATE]])-1,"00"))</f>
        <v/>
      </c>
      <c r="C53" s="195" t="n">
        <v>44285</v>
      </c>
      <c r="D53" s="192" t="n">
        <v>0.3958333333333333</v>
      </c>
      <c r="E53" s="30" t="n"/>
      <c r="F53" s="30" t="n"/>
      <c r="G53" s="30" t="n">
        <v>1.86</v>
      </c>
      <c r="I53" s="30" t="n">
        <v>2.42</v>
      </c>
      <c r="J53" s="30" t="n">
        <v>2.15</v>
      </c>
      <c r="K53" s="30">
        <f>Table1[[#This Row],[EXIT]]-Table1[[#This Row],[ENTRY]]</f>
        <v/>
      </c>
      <c r="L53" s="30">
        <f>Table1[[#This Row],[HIGH]]-Table1[[#This Row],[ENTRY]]</f>
        <v/>
      </c>
      <c r="M53" t="inlineStr">
        <is>
          <t>PM Consolidation</t>
        </is>
      </c>
      <c r="N53" t="inlineStr">
        <is>
          <t>5x20</t>
        </is>
      </c>
      <c r="O53" s="39" t="n">
        <v>1</v>
      </c>
      <c r="P53" t="inlineStr">
        <is>
          <t>Business Services</t>
        </is>
      </c>
      <c r="Q53" s="31" t="n">
        <v>203810000</v>
      </c>
      <c r="R53" s="31" t="n">
        <v>35140000</v>
      </c>
      <c r="S53" t="inlineStr">
        <is>
          <t>..\Charts\pfmt-20210330.jpg</t>
        </is>
      </c>
    </row>
    <row r="54">
      <c r="A54" t="inlineStr">
        <is>
          <t>JFIN</t>
        </is>
      </c>
      <c r="B54">
        <f>VALUE(YEAR(Table1[[#This Row],[DATE]])&amp;TEXT(WEEKNUM(Table1[[#This Row],[DATE]])-1,"00"))</f>
        <v/>
      </c>
      <c r="C54" s="195" t="n">
        <v>44285</v>
      </c>
      <c r="D54" s="192" t="n">
        <v>0.4125</v>
      </c>
      <c r="E54" s="30" t="n"/>
      <c r="F54" s="30" t="n"/>
      <c r="G54" s="30" t="n">
        <v>8.050000000000001</v>
      </c>
      <c r="I54" s="30" t="n">
        <v>10.24</v>
      </c>
      <c r="J54" s="30" t="n">
        <v>9.02</v>
      </c>
      <c r="K54" s="30">
        <f>Table1[[#This Row],[EXIT]]-Table1[[#This Row],[ENTRY]]</f>
        <v/>
      </c>
      <c r="L54" s="30">
        <f>Table1[[#This Row],[HIGH]]-Table1[[#This Row],[ENTRY]]</f>
        <v/>
      </c>
      <c r="M54" t="inlineStr">
        <is>
          <t>Consolidation</t>
        </is>
      </c>
      <c r="N54" t="inlineStr">
        <is>
          <t>5x20</t>
        </is>
      </c>
      <c r="O54" s="39" t="n">
        <v>1</v>
      </c>
      <c r="P54" t="inlineStr">
        <is>
          <t>Communications</t>
        </is>
      </c>
      <c r="Q54" s="31" t="n">
        <v>285820000</v>
      </c>
      <c r="R54" s="31" t="n">
        <v>26750000</v>
      </c>
      <c r="S54" t="inlineStr">
        <is>
          <t>..\Charts\jfin-20210330.jpg</t>
        </is>
      </c>
    </row>
    <row r="55">
      <c r="A55" t="inlineStr">
        <is>
          <t>UPC</t>
        </is>
      </c>
      <c r="B55">
        <f>VALUE(YEAR(Table1[[#This Row],[DATE]])&amp;TEXT(WEEKNUM(Table1[[#This Row],[DATE]])-1,"00"))</f>
        <v/>
      </c>
      <c r="C55" s="195" t="n">
        <v>44287</v>
      </c>
      <c r="D55" s="192" t="n">
        <v>0.3527777777777778</v>
      </c>
      <c r="E55" s="30" t="n"/>
      <c r="F55" s="30" t="n"/>
      <c r="G55" s="30" t="n">
        <v>5.46</v>
      </c>
      <c r="I55" s="30" t="n">
        <v>5.88</v>
      </c>
      <c r="J55" s="30" t="n">
        <v>5.39</v>
      </c>
      <c r="K55" s="30">
        <f>Table1[[#This Row],[EXIT]]-Table1[[#This Row],[ENTRY]]</f>
        <v/>
      </c>
      <c r="L55" s="30">
        <f>Table1[[#This Row],[HIGH]]-Table1[[#This Row],[ENTRY]]</f>
        <v/>
      </c>
      <c r="M55" t="inlineStr">
        <is>
          <t>PMH</t>
        </is>
      </c>
      <c r="N55" t="inlineStr">
        <is>
          <t>Failed</t>
        </is>
      </c>
      <c r="O55" s="39" t="n"/>
      <c r="P55" t="inlineStr">
        <is>
          <t>Biotech</t>
        </is>
      </c>
      <c r="Q55" s="31" t="n"/>
      <c r="R55" s="31" t="n"/>
      <c r="S55" t="inlineStr">
        <is>
          <t>..\Charts\upc-20210401.jpg</t>
        </is>
      </c>
    </row>
    <row r="56">
      <c r="A56" t="inlineStr">
        <is>
          <t>UPC</t>
        </is>
      </c>
      <c r="B56">
        <f>VALUE(YEAR(Table1[[#This Row],[DATE]])&amp;TEXT(WEEKNUM(Table1[[#This Row],[DATE]])-1,"00"))</f>
        <v/>
      </c>
      <c r="C56" s="195" t="n">
        <v>44287</v>
      </c>
      <c r="D56" s="192" t="n">
        <v>0.3986111111111111</v>
      </c>
      <c r="E56" s="30" t="n"/>
      <c r="F56" s="30" t="n"/>
      <c r="G56" s="30" t="n">
        <v>5.89</v>
      </c>
      <c r="I56" s="30" t="n">
        <v>7.22</v>
      </c>
      <c r="J56" s="30" t="n">
        <v>5.85</v>
      </c>
      <c r="K56" s="30">
        <f>Table1[[#This Row],[EXIT]]-Table1[[#This Row],[ENTRY]]</f>
        <v/>
      </c>
      <c r="L56" s="30">
        <f>Table1[[#This Row],[HIGH]]-Table1[[#This Row],[ENTRY]]</f>
        <v/>
      </c>
      <c r="M56" t="inlineStr">
        <is>
          <t>PMH</t>
        </is>
      </c>
      <c r="N56" t="inlineStr">
        <is>
          <t>BE</t>
        </is>
      </c>
      <c r="O56" s="39" t="n">
        <v>1</v>
      </c>
      <c r="P56" t="inlineStr">
        <is>
          <t>Biotech</t>
        </is>
      </c>
      <c r="Q56" s="31" t="n"/>
      <c r="R56" s="31" t="n"/>
      <c r="S56" t="inlineStr">
        <is>
          <t>..\Charts\upc-20210401.jpg</t>
        </is>
      </c>
    </row>
    <row r="57">
      <c r="A57" t="inlineStr">
        <is>
          <t>SJ</t>
        </is>
      </c>
      <c r="B57">
        <f>VALUE(YEAR(Table1[[#This Row],[DATE]])&amp;TEXT(WEEKNUM(Table1[[#This Row],[DATE]])-1,"00"))</f>
        <v/>
      </c>
      <c r="C57" s="195" t="n">
        <v>44292</v>
      </c>
      <c r="D57" s="192" t="n">
        <v>0.3777777777777778</v>
      </c>
      <c r="E57" s="30" t="n"/>
      <c r="F57" s="30" t="n"/>
      <c r="G57" s="30" t="n">
        <v>14</v>
      </c>
      <c r="I57" s="30" t="n">
        <v>15.5</v>
      </c>
      <c r="J57" s="30" t="n">
        <v>13.7</v>
      </c>
      <c r="K57" s="30">
        <f>Table1[[#This Row],[EXIT]]-Table1[[#This Row],[ENTRY]]</f>
        <v/>
      </c>
      <c r="L57" s="30">
        <f>Table1[[#This Row],[HIGH]]-Table1[[#This Row],[ENTRY]]</f>
        <v/>
      </c>
      <c r="M57" t="inlineStr">
        <is>
          <t>Pivot</t>
        </is>
      </c>
      <c r="N57" t="inlineStr">
        <is>
          <t>Failed</t>
        </is>
      </c>
      <c r="O57" s="39" t="n"/>
      <c r="P57" t="inlineStr">
        <is>
          <t>Communications</t>
        </is>
      </c>
      <c r="Q57" s="31" t="n">
        <v>190460000</v>
      </c>
      <c r="R57" s="31" t="n">
        <v>2270000</v>
      </c>
      <c r="S57" t="inlineStr">
        <is>
          <t>..\Charts\sj-20210406.jpg</t>
        </is>
      </c>
    </row>
    <row r="58">
      <c r="A58" t="inlineStr">
        <is>
          <t>RMO</t>
        </is>
      </c>
      <c r="B58">
        <f>VALUE(YEAR(Table1[[#This Row],[DATE]])&amp;TEXT(WEEKNUM(Table1[[#This Row],[DATE]])-1,"00"))</f>
        <v/>
      </c>
      <c r="C58" s="195" t="n">
        <v>44292</v>
      </c>
      <c r="D58" s="192" t="n">
        <v>0.4194444444444445</v>
      </c>
      <c r="E58" s="30" t="n"/>
      <c r="F58" s="30" t="n"/>
      <c r="G58" s="30" t="n">
        <v>9.18</v>
      </c>
      <c r="I58" s="30" t="n">
        <v>13.64</v>
      </c>
      <c r="J58" s="30" t="n">
        <v>12.76</v>
      </c>
      <c r="K58" s="30">
        <f>Table1[[#This Row],[EXIT]]-Table1[[#This Row],[ENTRY]]</f>
        <v/>
      </c>
      <c r="L58" s="30">
        <f>Table1[[#This Row],[HIGH]]-Table1[[#This Row],[ENTRY]]</f>
        <v/>
      </c>
      <c r="M58" t="inlineStr">
        <is>
          <t>PMH</t>
        </is>
      </c>
      <c r="N58" t="inlineStr">
        <is>
          <t>5x20</t>
        </is>
      </c>
      <c r="O58" s="39" t="n">
        <v>1</v>
      </c>
      <c r="P58" t="inlineStr">
        <is>
          <t>Auto Parts</t>
        </is>
      </c>
      <c r="Q58" s="31" t="n">
        <v>1070000000</v>
      </c>
      <c r="R58" s="31" t="n">
        <v>87430000</v>
      </c>
      <c r="S58" t="inlineStr">
        <is>
          <t>..\Charts\rmo-20210406.jpg</t>
        </is>
      </c>
    </row>
    <row r="59">
      <c r="A59" t="inlineStr">
        <is>
          <t>SJ</t>
        </is>
      </c>
      <c r="B59">
        <f>VALUE(YEAR(Table1[[#This Row],[DATE]])&amp;TEXT(WEEKNUM(Table1[[#This Row],[DATE]])-1,"00"))</f>
        <v/>
      </c>
      <c r="C59" s="195" t="n">
        <v>44292</v>
      </c>
      <c r="D59" s="192" t="n">
        <v>0.4375</v>
      </c>
      <c r="E59" s="30" t="n"/>
      <c r="F59" s="30" t="n"/>
      <c r="G59" s="30" t="n">
        <v>14.88</v>
      </c>
      <c r="I59" s="30" t="n">
        <v>18.5</v>
      </c>
      <c r="J59" s="30" t="n">
        <v>16.23</v>
      </c>
      <c r="K59" s="30">
        <f>Table1[[#This Row],[EXIT]]-Table1[[#This Row],[ENTRY]]</f>
        <v/>
      </c>
      <c r="L59" s="30">
        <f>Table1[[#This Row],[HIGH]]-Table1[[#This Row],[ENTRY]]</f>
        <v/>
      </c>
      <c r="M59" t="inlineStr">
        <is>
          <t>Consolidation</t>
        </is>
      </c>
      <c r="N59" t="inlineStr">
        <is>
          <t>5x20</t>
        </is>
      </c>
      <c r="O59" s="39" t="n">
        <v>3</v>
      </c>
      <c r="P59" t="inlineStr">
        <is>
          <t>Communications</t>
        </is>
      </c>
      <c r="Q59" s="31" t="n">
        <v>190460000</v>
      </c>
      <c r="R59" s="31" t="n">
        <v>2270000</v>
      </c>
    </row>
    <row r="61">
      <c r="K61" s="30" t="n"/>
    </row>
  </sheetData>
  <conditionalFormatting sqref="G2:G59">
    <cfRule type="cellIs" priority="1" operator="greaterThan" dxfId="34">
      <formula>30</formula>
    </cfRule>
    <cfRule type="cellIs" priority="2" operator="between" dxfId="35">
      <formula>10</formula>
      <formula>30</formula>
    </cfRule>
    <cfRule type="cellIs" priority="3" operator="lessThan" dxfId="36">
      <formula>10</formula>
    </cfRule>
  </conditionalFormatting>
  <conditionalFormatting sqref="K2:K59">
    <cfRule type="cellIs" priority="7" operator="lessThan" dxfId="37">
      <formula>0</formula>
    </cfRule>
  </conditionalFormatting>
  <hyperlinks>
    <hyperlink xmlns:r="http://schemas.openxmlformats.org/officeDocument/2006/relationships" ref="S4" display="..\Charts\fsr-20210212.png" r:id="rId1"/>
    <hyperlink xmlns:r="http://schemas.openxmlformats.org/officeDocument/2006/relationships" ref="S6" display="..\Charts\imgn-20210212.png" r:id="rId2"/>
    <hyperlink xmlns:r="http://schemas.openxmlformats.org/officeDocument/2006/relationships" ref="S7" display="..\Charts\fsr-20210212.png" r:id="rId3"/>
    <hyperlink xmlns:r="http://schemas.openxmlformats.org/officeDocument/2006/relationships" ref="S8" display="..\Charts\bngo-20210212.png" r:id="rId4"/>
    <hyperlink xmlns:r="http://schemas.openxmlformats.org/officeDocument/2006/relationships" ref="S10" display="..\Charts\bngo-20210212.png" r:id="rId5"/>
    <hyperlink xmlns:r="http://schemas.openxmlformats.org/officeDocument/2006/relationships" ref="S11" display="..\Charts\trch-20210216.png" r:id="rId6"/>
    <hyperlink xmlns:r="http://schemas.openxmlformats.org/officeDocument/2006/relationships" ref="S12" display="..\Charts\apha-20210216.png" r:id="rId7"/>
    <hyperlink xmlns:r="http://schemas.openxmlformats.org/officeDocument/2006/relationships" ref="S13" display="..\Charts\mvis-20210216.png" r:id="rId8"/>
    <hyperlink xmlns:r="http://schemas.openxmlformats.org/officeDocument/2006/relationships" ref="S14" display="..\Charts\sckt-20210216.png" r:id="rId9"/>
    <hyperlink xmlns:r="http://schemas.openxmlformats.org/officeDocument/2006/relationships" ref="S15" display="..\Charts\apha-20210216.png" r:id="rId10"/>
    <hyperlink xmlns:r="http://schemas.openxmlformats.org/officeDocument/2006/relationships" ref="S16" display="..\Charts\sckt-20210216.png" r:id="rId11"/>
    <hyperlink xmlns:r="http://schemas.openxmlformats.org/officeDocument/2006/relationships" ref="S18" display="..\Charts\can-20210219.png" r:id="rId12"/>
    <hyperlink xmlns:r="http://schemas.openxmlformats.org/officeDocument/2006/relationships" ref="S19" display="..\Charts\vcnx-20210219.png" r:id="rId13"/>
    <hyperlink xmlns:r="http://schemas.openxmlformats.org/officeDocument/2006/relationships" ref="S22" display="..\Charts\amtx-20210302.jpg" r:id="rId14"/>
    <hyperlink xmlns:r="http://schemas.openxmlformats.org/officeDocument/2006/relationships" ref="S23" display="..\Charts\amtx-20210302.jpg" r:id="rId15"/>
    <hyperlink xmlns:r="http://schemas.openxmlformats.org/officeDocument/2006/relationships" ref="S24" display="..\Charts\eyes-20210305.jpg" r:id="rId16"/>
    <hyperlink xmlns:r="http://schemas.openxmlformats.org/officeDocument/2006/relationships" ref="S26" display="..\Charts\bngo-20210308.jpg" r:id="rId17"/>
    <hyperlink xmlns:r="http://schemas.openxmlformats.org/officeDocument/2006/relationships" ref="S27" display="..\Charts\bngo-20210308.jpg" r:id="rId18"/>
    <hyperlink xmlns:r="http://schemas.openxmlformats.org/officeDocument/2006/relationships" ref="S29" display="..\Charts\eyes-20210305.jpg" r:id="rId19"/>
    <hyperlink xmlns:r="http://schemas.openxmlformats.org/officeDocument/2006/relationships" ref="S30" display="..\Charts\invo-20210309.jpg" r:id="rId20"/>
    <hyperlink xmlns:r="http://schemas.openxmlformats.org/officeDocument/2006/relationships" ref="S31" display="..\Charts\xela-20210309.jpg" r:id="rId21"/>
    <hyperlink xmlns:r="http://schemas.openxmlformats.org/officeDocument/2006/relationships" ref="S32" display="..\Charts\ocgn-20210311.jpg" r:id="rId22"/>
    <hyperlink xmlns:r="http://schemas.openxmlformats.org/officeDocument/2006/relationships" ref="S33" display="..\Charts\entx-20210311.jpg" r:id="rId23"/>
    <hyperlink xmlns:r="http://schemas.openxmlformats.org/officeDocument/2006/relationships" ref="S34" display="..\Charts\entx-20210311.jpg" r:id="rId24"/>
    <hyperlink xmlns:r="http://schemas.openxmlformats.org/officeDocument/2006/relationships" ref="S35" display="..\Charts\entx-20210312.jpg" r:id="rId25"/>
    <hyperlink xmlns:r="http://schemas.openxmlformats.org/officeDocument/2006/relationships" ref="S36" display="..\Charts\ebon-20210312.jpg" r:id="rId26"/>
    <hyperlink xmlns:r="http://schemas.openxmlformats.org/officeDocument/2006/relationships" ref="S37" display="..\Charts\amc-20210315.jpg" r:id="rId27"/>
    <hyperlink xmlns:r="http://schemas.openxmlformats.org/officeDocument/2006/relationships" ref="S38" display="..\Charts\ssy-20210316.jpg" r:id="rId28"/>
    <hyperlink xmlns:r="http://schemas.openxmlformats.org/officeDocument/2006/relationships" ref="S39" display="..\Charts\svra-20210316.jpg" r:id="rId29"/>
    <hyperlink xmlns:r="http://schemas.openxmlformats.org/officeDocument/2006/relationships" ref="S41" display="..\Charts\tkat-20210317.jpg" r:id="rId30"/>
    <hyperlink xmlns:r="http://schemas.openxmlformats.org/officeDocument/2006/relationships" ref="S42" display="..\Charts\ocg-20210318.jpg" r:id="rId31"/>
    <hyperlink xmlns:r="http://schemas.openxmlformats.org/officeDocument/2006/relationships" ref="S43" display="..\Charts\expr-20210318.jpg" r:id="rId32"/>
    <hyperlink xmlns:r="http://schemas.openxmlformats.org/officeDocument/2006/relationships" ref="S44" display="..\Charts\jfin-20210318.jpg" r:id="rId33"/>
    <hyperlink xmlns:r="http://schemas.openxmlformats.org/officeDocument/2006/relationships" ref="S45" display="..\Charts\clvs-20210319.jpg" r:id="rId34"/>
    <hyperlink xmlns:r="http://schemas.openxmlformats.org/officeDocument/2006/relationships" ref="S47" display="..\Charts\jfin-20210322.jpg" r:id="rId35"/>
    <hyperlink xmlns:r="http://schemas.openxmlformats.org/officeDocument/2006/relationships" ref="S49" display="..\Charts\amc-20210325.jpg" r:id="rId36"/>
    <hyperlink xmlns:r="http://schemas.openxmlformats.org/officeDocument/2006/relationships" ref="S50" display="..\Charts\koss-20210325.jpg" r:id="rId37"/>
    <hyperlink xmlns:r="http://schemas.openxmlformats.org/officeDocument/2006/relationships" ref="S51" display="..\Charts\cleu-20210326.jpg" r:id="rId38"/>
    <hyperlink xmlns:r="http://schemas.openxmlformats.org/officeDocument/2006/relationships" ref="S52" display="..\Charts\wafu-20210326.jpg" r:id="rId39"/>
    <hyperlink xmlns:r="http://schemas.openxmlformats.org/officeDocument/2006/relationships" ref="S53" display="..\Charts\pfmt-20210330.jpg" r:id="rId40"/>
    <hyperlink xmlns:r="http://schemas.openxmlformats.org/officeDocument/2006/relationships" ref="S54" display="..\Charts\jfin-20210330.jpg" r:id="rId41"/>
    <hyperlink xmlns:r="http://schemas.openxmlformats.org/officeDocument/2006/relationships" ref="S55" display="..\Charts\upc-20210401.jpg" r:id="rId42"/>
    <hyperlink xmlns:r="http://schemas.openxmlformats.org/officeDocument/2006/relationships" ref="S56" display="..\Charts\upc-20210401.jpg" r:id="rId43"/>
    <hyperlink xmlns:r="http://schemas.openxmlformats.org/officeDocument/2006/relationships" ref="S57" display="..\Charts\sj-20210406.jpg" r:id="rId44"/>
    <hyperlink xmlns:r="http://schemas.openxmlformats.org/officeDocument/2006/relationships" ref="S58" display="..\Charts\rmo-20210406.jpg" r:id="rId45"/>
  </hyperlinks>
  <pageMargins left="0.7" right="0.7" top="0.75" bottom="0.75" header="0.3" footer="0.3"/>
  <pageSetup orientation="portrait" paperSize="1"/>
  <tableParts count="1">
    <tablePart xmlns:r="http://schemas.openxmlformats.org/officeDocument/2006/relationships" r:id="rId46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topLeftCell="A4" workbookViewId="0">
      <selection activeCell="G16" sqref="G16"/>
    </sheetView>
  </sheetViews>
  <sheetFormatPr baseColWidth="8" defaultColWidth="9" defaultRowHeight="14"/>
  <cols>
    <col width="8.28333333333333" customWidth="1" style="107" min="1" max="1"/>
    <col width="9.858333333333331" customWidth="1" style="107" min="2" max="2"/>
    <col width="11" customWidth="1" style="107" min="3" max="3"/>
    <col width="12" customWidth="1" style="107" min="4" max="4"/>
    <col width="10.1416666666667" customWidth="1" style="107" min="5" max="5"/>
    <col width="10.7083333333333" customWidth="1" style="107" min="6" max="6"/>
    <col width="8.28333333333333" customWidth="1" style="107" min="7" max="7"/>
    <col width="7.425" customWidth="1" style="107" min="9" max="9"/>
  </cols>
  <sheetData>
    <row r="1">
      <c r="A1" s="1" t="inlineStr">
        <is>
          <t>TIME CALCS</t>
        </is>
      </c>
      <c r="B1" s="2" t="n"/>
      <c r="C1" s="2" t="n"/>
      <c r="D1" s="2" t="n"/>
      <c r="E1" s="2" t="n"/>
      <c r="F1" s="2" t="n"/>
    </row>
    <row r="2">
      <c r="A2" s="3" t="inlineStr">
        <is>
          <t>START</t>
        </is>
      </c>
      <c r="B2" s="3" t="inlineStr">
        <is>
          <t>END</t>
        </is>
      </c>
      <c r="C2" s="3" t="inlineStr">
        <is>
          <t>TOTAL TIME</t>
        </is>
      </c>
      <c r="D2" s="3" t="inlineStr">
        <is>
          <t>ENTRIES</t>
        </is>
      </c>
      <c r="E2" s="3" t="inlineStr">
        <is>
          <t>AVE PRICE</t>
        </is>
      </c>
      <c r="F2" s="3" t="inlineStr">
        <is>
          <t>TRADED %</t>
        </is>
      </c>
    </row>
    <row r="3">
      <c r="A3" s="196" t="n">
        <v>0.3333333333333333</v>
      </c>
      <c r="B3" s="196" t="n">
        <v>0.3534722222222222</v>
      </c>
      <c r="C3" s="5">
        <f>SUMIFS(Table1[TIME],Table1[TIME],"&gt;="&amp;A3,Table1[TIME],"&lt;"&amp;B3)</f>
        <v/>
      </c>
      <c r="D3" s="6">
        <f>COUNTIFS(Table1[TIME],"&gt;="&amp;A3,Table1[TIME],"&lt;"&amp;B3)</f>
        <v/>
      </c>
      <c r="E3" s="197">
        <f>C3/D3</f>
        <v/>
      </c>
      <c r="F3" s="8">
        <f>COUNTIFS(Table1[TIME],"&gt;="&amp;A3,Table1[TIME],"&lt;"&amp;B3)/(COUNT(Table1[TIME]))</f>
        <v/>
      </c>
    </row>
    <row r="4">
      <c r="A4" s="196" t="n">
        <v>0.3541666666666667</v>
      </c>
      <c r="B4" s="196" t="n">
        <v>0.3743055555555556</v>
      </c>
      <c r="C4" s="5">
        <f>SUMIFS(Table1[TIME],Table1[TIME],"&gt;="&amp;A4,Table1[TIME],"&lt;"&amp;B4)</f>
        <v/>
      </c>
      <c r="D4" s="6">
        <f>COUNTIFS(Table1[TIME],"&gt;="&amp;A4,Table1[TIME],"&lt;"&amp;B4)</f>
        <v/>
      </c>
      <c r="E4" s="197">
        <f>C4/D4</f>
        <v/>
      </c>
      <c r="F4" s="8">
        <f>COUNTIFS(Table1[TIME],"&gt;="&amp;A4,Table1[TIME],"&lt;"&amp;B4)/(COUNT(Table1[TIME]))</f>
        <v/>
      </c>
    </row>
    <row r="5">
      <c r="A5" s="196" t="n">
        <v>0.375</v>
      </c>
      <c r="B5" s="196" t="n">
        <v>0.3951388888888889</v>
      </c>
      <c r="C5" s="5">
        <f>SUMIFS(Table1[TIME],Table1[TIME],"&gt;="&amp;A5,Table1[TIME],"&lt;"&amp;B5)</f>
        <v/>
      </c>
      <c r="D5" s="6">
        <f>COUNTIFS(Table1[TIME],"&gt;="&amp;A5,Table1[TIME],"&lt;"&amp;B5)</f>
        <v/>
      </c>
      <c r="E5" s="197">
        <f>C5/D5</f>
        <v/>
      </c>
      <c r="F5" s="8">
        <f>COUNTIFS(Table1[TIME],"&gt;="&amp;A5,Table1[TIME],"&lt;"&amp;B5)/(COUNT(Table1[TIME]))</f>
        <v/>
      </c>
    </row>
    <row r="6">
      <c r="A6" s="196" t="n">
        <v>0.3958333333333333</v>
      </c>
      <c r="B6" s="196" t="n">
        <v>0.4090277777777778</v>
      </c>
      <c r="C6" s="5">
        <f>SUMIFS(Table1[TIME],Table1[TIME],"&gt;="&amp;A6,Table1[TIME],"&lt;"&amp;B6)</f>
        <v/>
      </c>
      <c r="D6" s="6">
        <f>COUNTIFS(Table1[TIME],"&gt;="&amp;A6,Table1[TIME],"&lt;"&amp;B6)</f>
        <v/>
      </c>
      <c r="E6" s="197">
        <f>C6/D6</f>
        <v/>
      </c>
      <c r="F6" s="8">
        <f>COUNTIFS(Table1[TIME],"&gt;="&amp;A6,Table1[TIME],"&lt;"&amp;B6)/(COUNT(Table1[TIME]))</f>
        <v/>
      </c>
    </row>
    <row r="7">
      <c r="A7" s="196" t="n">
        <v>0.4097222222222222</v>
      </c>
      <c r="B7" s="196" t="n">
        <v>0.4368055555555556</v>
      </c>
      <c r="C7" s="5">
        <f>SUMIFS(Table1[TIME],Table1[TIME],"&gt;="&amp;A7,Table1[TIME],"&lt;"&amp;B7)</f>
        <v/>
      </c>
      <c r="D7" s="6">
        <f>COUNTIFS(Table1[TIME],"&gt;="&amp;A7,Table1[TIME],"&lt;"&amp;B7)</f>
        <v/>
      </c>
      <c r="E7" s="197">
        <f>C7/D7</f>
        <v/>
      </c>
      <c r="F7" s="8">
        <f>COUNTIFS(Table1[TIME],"&gt;="&amp;A7,Table1[TIME],"&lt;"&amp;B7)/(COUNT(Table1[TIME]))</f>
        <v/>
      </c>
    </row>
    <row r="8">
      <c r="A8" s="196" t="n">
        <v>0.4375</v>
      </c>
      <c r="B8" s="196" t="n">
        <v>0.4784722222222222</v>
      </c>
      <c r="C8" s="5">
        <f>SUMIFS(Table1[TIME],Table1[TIME],"&gt;="&amp;A8,Table1[TIME],"&lt;"&amp;B8)</f>
        <v/>
      </c>
      <c r="D8" s="6">
        <f>COUNTIFS(Table1[TIME],"&gt;="&amp;A8,Table1[TIME],"&lt;"&amp;B8)</f>
        <v/>
      </c>
      <c r="E8" s="197">
        <f>C8/D8</f>
        <v/>
      </c>
      <c r="F8" s="8">
        <f>COUNTIFS(Table1[TIME],"&gt;="&amp;A8,Table1[TIME],"&lt;"&amp;B8)/(COUNT(Table1[TIME]))</f>
        <v/>
      </c>
    </row>
    <row r="9">
      <c r="A9" s="196" t="n">
        <v>0.4791666666666667</v>
      </c>
      <c r="B9" s="196" t="n">
        <v>0.6659722222222222</v>
      </c>
      <c r="C9" s="5">
        <f>SUMIFS(Table1[TIME],Table1[TIME],"&gt;="&amp;A9,Table1[TIME],"&lt;"&amp;B9)</f>
        <v/>
      </c>
      <c r="D9" s="6">
        <f>COUNTIFS(Table1[TIME],"&gt;="&amp;A9,Table1[TIME],"&lt;"&amp;B9)</f>
        <v/>
      </c>
      <c r="E9" s="197">
        <f>C9/D9</f>
        <v/>
      </c>
      <c r="F9" s="8">
        <f>COUNTIFS(Table1[TIME],"&gt;="&amp;A9,Table1[TIME],"&lt;"&amp;B9)/(COUNT(Table1[TIME]))</f>
        <v/>
      </c>
    </row>
    <row r="11">
      <c r="A11" s="9" t="inlineStr">
        <is>
          <t>FED TAX TABLE</t>
        </is>
      </c>
      <c r="B11" s="10" t="n"/>
      <c r="C11" s="11" t="n"/>
      <c r="E11" s="31" t="n"/>
    </row>
    <row r="12">
      <c r="A12" s="13" t="inlineStr">
        <is>
          <t>Income</t>
        </is>
      </c>
      <c r="B12" s="14">
        <f>'RESULTS 1'!G20</f>
        <v/>
      </c>
      <c r="C12" s="15">
        <f>'RESULTS 1'!G21</f>
        <v/>
      </c>
      <c r="D12" s="142" t="n"/>
    </row>
    <row r="13">
      <c r="A13" s="17" t="inlineStr">
        <is>
          <t>Tax Rate</t>
        </is>
      </c>
      <c r="B13" s="18">
        <f>VLOOKUP(B12,$A$16:$B$22,2,TRUE)</f>
        <v/>
      </c>
      <c r="C13" s="19">
        <f>VLOOKUP(C12,$A$16:$B$22,2,TRUE)</f>
        <v/>
      </c>
      <c r="D13" s="142" t="n"/>
    </row>
    <row r="14">
      <c r="A14" s="17" t="inlineStr">
        <is>
          <t>M-to-M</t>
        </is>
      </c>
      <c r="B14" s="18" t="inlineStr">
        <is>
          <t>Yes</t>
        </is>
      </c>
      <c r="C14" s="19" t="inlineStr">
        <is>
          <t>Yes</t>
        </is>
      </c>
    </row>
    <row r="15">
      <c r="A15" s="20" t="inlineStr">
        <is>
          <t>INCOME</t>
        </is>
      </c>
      <c r="B15" s="21" t="inlineStr">
        <is>
          <t>RATE</t>
        </is>
      </c>
      <c r="C15" s="22" t="n"/>
    </row>
    <row r="16">
      <c r="A16" s="23" t="n">
        <v>19750</v>
      </c>
      <c r="B16" s="24" t="n">
        <v>0.1</v>
      </c>
      <c r="C16" s="22" t="n"/>
    </row>
    <row r="17">
      <c r="A17" s="23" t="n">
        <v>80250</v>
      </c>
      <c r="B17" s="24" t="n">
        <v>0.12</v>
      </c>
      <c r="C17" s="22" t="n"/>
    </row>
    <row r="18">
      <c r="A18" s="23" t="n">
        <v>171050</v>
      </c>
      <c r="B18" s="24" t="n">
        <v>0.22</v>
      </c>
      <c r="C18" s="22" t="n"/>
    </row>
    <row r="19">
      <c r="A19" s="23" t="n">
        <v>326600</v>
      </c>
      <c r="B19" s="24" t="n">
        <v>0.24</v>
      </c>
      <c r="C19" s="22" t="n"/>
    </row>
    <row r="20">
      <c r="A20" s="23" t="n">
        <v>414700</v>
      </c>
      <c r="B20" s="24" t="n">
        <v>0.32</v>
      </c>
      <c r="C20" s="22" t="n"/>
    </row>
    <row r="21">
      <c r="A21" s="23" t="n">
        <v>622050</v>
      </c>
      <c r="B21" s="24" t="n">
        <v>0.35</v>
      </c>
      <c r="C21" s="22" t="n"/>
    </row>
    <row r="22">
      <c r="A22" s="25" t="n"/>
      <c r="B22" s="26" t="n">
        <v>0.37</v>
      </c>
      <c r="C22" s="27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Scott</dc:creator>
  <dc:subject>Results of on-going breakouts</dc:subject>
  <dcterms:created xsi:type="dcterms:W3CDTF">2021-04-29T17:25:00Z</dcterms:created>
  <dcterms:modified xsi:type="dcterms:W3CDTF">2026-03-23T10:14:32Z</dcterms:modified>
  <cp:lastModifiedBy>一世相儒以沫</cp:lastModifiedBy>
  <cp:keywords>breakout;backtesting</cp:keywords>
  <cp:lastPrinted>2021-09-17T14:20:00Z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9EBCBF58EF024F5C9EE47E6196A98ACE_12</vt:lpwstr>
  </property>
  <property name="KSOProductBuildVer" fmtid="{D5CDD505-2E9C-101B-9397-08002B2CF9AE}" pid="3">
    <vt:lpwstr>2052-12.1.0.16729</vt:lpwstr>
  </property>
</Properties>
</file>