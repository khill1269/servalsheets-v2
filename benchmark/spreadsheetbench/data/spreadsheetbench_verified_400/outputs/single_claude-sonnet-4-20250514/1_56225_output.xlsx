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1" activeTab="1" autoFilterDateGrouping="1"/>
  </bookViews>
  <sheets>
    <sheet name="mechanic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&quot;:&quot;mm&quot;:&quot;ss&quot; &quot;AM/PM"/>
  </numFmts>
  <fonts count="29">
    <font>
      <name val="Liberation Sans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Liberation Sans"/>
      <charset val="134"/>
      <color rgb="FF333333"/>
      <sz val="10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Liberation Sans"/>
      <charset val="134"/>
      <color rgb="FF000000"/>
      <sz val="18"/>
    </font>
    <font>
      <name val="Liberation Sans"/>
      <charset val="134"/>
      <color rgb="FF000000"/>
      <sz val="12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Liberation Sans"/>
      <charset val="134"/>
      <color rgb="FF006600"/>
      <sz val="10"/>
    </font>
    <font>
      <name val="Liberation Sans"/>
      <charset val="134"/>
      <color rgb="FFCC0000"/>
      <sz val="10"/>
    </font>
    <font>
      <name val="Liberation Sans"/>
      <charset val="134"/>
      <color rgb="FF996600"/>
      <sz val="1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color rgb="FF0000EE"/>
      <sz val="10"/>
      <u val="single"/>
    </font>
    <font>
      <name val="Liberation Sans"/>
      <charset val="134"/>
      <b val="1"/>
      <i val="1"/>
      <color rgb="FF000000"/>
      <sz val="10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2" borderId="1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/>
    <xf numFmtId="0" fontId="9" fillId="0" borderId="0"/>
    <xf numFmtId="0" fontId="10" fillId="0" borderId="2" applyAlignment="1">
      <alignment vertical="center"/>
    </xf>
    <xf numFmtId="0" fontId="10" fillId="0" borderId="0" applyAlignment="1">
      <alignment vertical="center"/>
    </xf>
    <xf numFmtId="0" fontId="11" fillId="3" borderId="3" applyAlignment="1">
      <alignment vertical="center"/>
    </xf>
    <xf numFmtId="0" fontId="12" fillId="4" borderId="4" applyAlignment="1">
      <alignment vertical="center"/>
    </xf>
    <xf numFmtId="0" fontId="13" fillId="4" borderId="3" applyAlignment="1">
      <alignment vertical="center"/>
    </xf>
    <xf numFmtId="0" fontId="14" fillId="5" borderId="5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7" fillId="6" borderId="0"/>
    <xf numFmtId="0" fontId="18" fillId="7" borderId="0"/>
    <xf numFmtId="0" fontId="19" fillId="2" borderId="0"/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2" fillId="0" borderId="0"/>
    <xf numFmtId="0" fontId="23" fillId="32" borderId="0"/>
    <xf numFmtId="0" fontId="23" fillId="33" borderId="0"/>
    <xf numFmtId="0" fontId="22" fillId="34" borderId="0"/>
    <xf numFmtId="0" fontId="24" fillId="35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0" fillId="0" borderId="0"/>
    <xf numFmtId="0" fontId="0" fillId="0" borderId="0"/>
    <xf numFmtId="0" fontId="18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Hyperlink" xfId="56"/>
    <cellStyle name="Result" xfId="57"/>
    <cellStyle name="Status" xfId="58"/>
    <cellStyle name="Text" xfId="59"/>
    <cellStyle name="Warning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C2" sqref="C2"/>
    </sheetView>
  </sheetViews>
  <sheetFormatPr baseColWidth="8" defaultColWidth="9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>
        <f>SUMIF(A2,"*"&amp;C1&amp;"*",data!K2:K32)</f>
        <v/>
      </c>
      <c r="D2">
        <f>SUMIF(data!C2:C29,D1,data!G2:G32)</f>
        <v/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tabSelected="1" workbookViewId="0">
      <selection activeCell="N11" sqref="N11"/>
    </sheetView>
  </sheetViews>
  <sheetFormatPr baseColWidth="8" defaultColWidth="9" defaultRowHeight="14"/>
  <cols>
    <col width="10.625" customWidth="1" min="1" max="4"/>
    <col width="11" customWidth="1" min="5" max="6"/>
    <col width="10.625" customWidth="1" min="7" max="7"/>
    <col width="11" customWidth="1" min="8" max="8"/>
    <col width="10.625" customWidth="1" min="9" max="9"/>
    <col hidden="1" width="10.625" customWidth="1" min="10" max="10"/>
    <col width="9.25" customWidth="1" min="11" max="11"/>
  </cols>
  <sheetData>
    <row r="1">
      <c r="A1" t="inlineStr">
        <is>
          <t>date</t>
        </is>
      </c>
      <c r="B1" t="inlineStr">
        <is>
          <t>invoice</t>
        </is>
      </c>
      <c r="C1" t="inlineStr">
        <is>
          <t>name</t>
        </is>
      </c>
      <c r="D1" t="inlineStr">
        <is>
          <t>job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5" t="n">
        <v>0.5535532407407407</v>
      </c>
      <c r="F2" s="5" t="n">
        <v>0.5793171296296297</v>
      </c>
      <c r="G2">
        <f>TEXT(F2-E2,"h:mm:ss")</f>
        <v/>
      </c>
      <c r="H2" s="2">
        <f>HOUR(E2)+MINUTE(E2)/60+SECOND(E2)/3600</f>
        <v/>
      </c>
      <c r="I2" s="2">
        <f>HOUR(F2)+MINUTE(F2)/60+SECOND(F2)/3600</f>
        <v/>
      </c>
      <c r="K2" s="2">
        <f>SUM(I2-H2)</f>
        <v/>
      </c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5" t="n">
        <v>0.6617013888888889</v>
      </c>
      <c r="F3" s="5" t="n">
        <v>0.700474537037037</v>
      </c>
      <c r="G3">
        <f>TEXT(F3-E3,"h:mm:ss")</f>
        <v/>
      </c>
      <c r="H3" s="2">
        <f>HOUR(E3)+MINUTE(E3)/60+SECOND(E3)/3600</f>
        <v/>
      </c>
      <c r="I3" s="2">
        <f>HOUR(F3)+MINUTE(F3)/60+SECOND(F3)/3600</f>
        <v/>
      </c>
      <c r="K3" s="2">
        <f>SUM(I3-H3)</f>
        <v/>
      </c>
      <c r="M3" t="inlineStr">
        <is>
          <t>gage</t>
        </is>
      </c>
      <c r="N3">
        <f>SUMIF(C2:C29,"*"&amp;M3&amp;"*",K2:K32)</f>
        <v/>
      </c>
      <c r="O3" t="n">
        <v>0</v>
      </c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5" t="n">
        <v>0.5978935185185185</v>
      </c>
      <c r="F4" s="5" t="n">
        <v>0.625</v>
      </c>
      <c r="G4">
        <f>TEXT(F4-E4,"h:mm:ss")</f>
        <v/>
      </c>
      <c r="H4" s="2">
        <f>HOUR(E4)+MINUTE(E4)/60+SECOND(E4)/3600</f>
        <v/>
      </c>
      <c r="I4" s="2">
        <f>HOUR(F4)+MINUTE(F4)/60+SECOND(F4)/3600</f>
        <v/>
      </c>
      <c r="K4" s="2">
        <f>SUM(I4-H4)</f>
        <v/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5" t="n">
        <v>0.6321875</v>
      </c>
      <c r="F5" s="5" t="n">
        <v>0.6543981481481481</v>
      </c>
      <c r="G5">
        <f>TEXT(F5-E5,"h:mm:ss")</f>
        <v/>
      </c>
      <c r="H5" s="2">
        <f>HOUR(E5)+MINUTE(E5)/60+SECOND(E5)/3600</f>
        <v/>
      </c>
      <c r="I5" s="2">
        <f>HOUR(F5)+MINUTE(F5)/60+SECOND(F5)/3600</f>
        <v/>
      </c>
      <c r="K5" s="2">
        <f>SUM(I5-H5)</f>
        <v/>
      </c>
      <c r="M5" t="inlineStr">
        <is>
          <t>start date</t>
        </is>
      </c>
      <c r="N5" s="4" t="n">
        <v>44256</v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5" t="n">
        <v>0.6390740740740741</v>
      </c>
      <c r="F6" s="5" t="n">
        <v>0.6945138888888889</v>
      </c>
      <c r="G6">
        <f>TEXT(F6-E6,"h:mm:ss")</f>
        <v/>
      </c>
      <c r="H6" s="2">
        <f>HOUR(E6)+MINUTE(E6)/60+SECOND(E6)/3600</f>
        <v/>
      </c>
      <c r="I6" s="2">
        <f>HOUR(F6)+MINUTE(F6)/60+SECOND(F6)/3600</f>
        <v/>
      </c>
      <c r="K6" s="2">
        <f>SUM(I6-H6)</f>
        <v/>
      </c>
      <c r="M6" t="inlineStr">
        <is>
          <t>end date</t>
        </is>
      </c>
      <c r="N6" s="4" t="n">
        <v>44256</v>
      </c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5" t="n">
        <v>0.3351736111111111</v>
      </c>
      <c r="F7" s="5" t="n">
        <v>0.3425</v>
      </c>
      <c r="G7">
        <f>TEXT(F7-E7,"h:mm:ss")</f>
        <v/>
      </c>
      <c r="H7" s="2">
        <f>HOUR(E7)+MINUTE(E7)/60+SECOND(E7)/3600</f>
        <v/>
      </c>
      <c r="I7" s="2">
        <f>HOUR(F7)+MINUTE(F7)/60+SECOND(F7)/3600</f>
        <v/>
      </c>
      <c r="K7" s="2">
        <f>SUM(I7-H7)</f>
        <v/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5" t="n">
        <v>0.3344560185185185</v>
      </c>
      <c r="F8" s="5" t="n">
        <v>0.3772685185185185</v>
      </c>
      <c r="G8">
        <f>TEXT(F8-E8,"h:mm:ss")</f>
        <v/>
      </c>
      <c r="H8" s="2">
        <f>HOUR(E8)+MINUTE(E8)/60+SECOND(E8)/3600</f>
        <v/>
      </c>
      <c r="I8" s="2">
        <f>HOUR(F8)+MINUTE(F8)/60+SECOND(F8)/3600</f>
        <v/>
      </c>
      <c r="K8" s="2">
        <f>SUM(I8-H8)</f>
        <v/>
      </c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5" t="n">
        <v>0.3425347222222222</v>
      </c>
      <c r="F9" s="5" t="n">
        <v>0.3524884259259259</v>
      </c>
      <c r="G9">
        <f>TEXT(F9-E9,"h:mm:ss")</f>
        <v/>
      </c>
      <c r="H9" s="2">
        <f>HOUR(E9)+MINUTE(E9)/60+SECOND(E9)/3600</f>
        <v/>
      </c>
      <c r="I9" s="2">
        <f>HOUR(F9)+MINUTE(F9)/60+SECOND(F9)/3600</f>
        <v/>
      </c>
      <c r="K9" s="2">
        <f>SUM(I9-H9)</f>
        <v/>
      </c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5" t="n">
        <v>0.5653819444444445</v>
      </c>
      <c r="F10" s="5" t="n">
        <v>0.6111111111111112</v>
      </c>
      <c r="G10">
        <f>TEXT(F10-E10,"h:mm:ss")</f>
        <v/>
      </c>
      <c r="H10" s="2">
        <f>HOUR(E10)+MINUTE(E10)/60+SECOND(E10)/3600</f>
        <v/>
      </c>
      <c r="I10" s="2">
        <f>HOUR(F10)+MINUTE(F10)/60+SECOND(F10)/3600</f>
        <v/>
      </c>
      <c r="K10" s="2">
        <f>SUM(I10-H10)</f>
        <v/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5" t="n">
        <v>0.3344560185185185</v>
      </c>
      <c r="F11" s="5" t="n">
        <v>0.3772685185185185</v>
      </c>
      <c r="G11">
        <f>TEXT(F11-E11,"h:mm:ss")</f>
        <v/>
      </c>
      <c r="H11" s="2">
        <f>HOUR(E11)+MINUTE(E11)/60+SECOND(E11)/3600</f>
        <v/>
      </c>
      <c r="I11" s="2">
        <f>HOUR(F11)+MINUTE(F11)/60+SECOND(F11)/3600</f>
        <v/>
      </c>
      <c r="K11" s="2">
        <f>SUM(I11-H11)</f>
        <v/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5" t="n">
        <v>0.3878472222222222</v>
      </c>
      <c r="F12" s="5" t="n">
        <v>0.4137731481481481</v>
      </c>
      <c r="G12">
        <f>TEXT(F12-E12,"h:mm:ss")</f>
        <v/>
      </c>
      <c r="H12" s="2">
        <f>HOUR(E12)+MINUTE(E12)/60+SECOND(E12)/3600</f>
        <v/>
      </c>
      <c r="I12" s="2">
        <f>HOUR(F12)+MINUTE(F12)/60+SECOND(F12)/3600</f>
        <v/>
      </c>
      <c r="K12" s="2">
        <f>SUM(I12-H12)</f>
        <v/>
      </c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5" t="n">
        <v>0.4329282407407408</v>
      </c>
      <c r="F13" s="5" t="n">
        <v>0.5000462962962963</v>
      </c>
      <c r="G13">
        <f>TEXT(F13-E13,"h:mm:ss")</f>
        <v/>
      </c>
      <c r="H13" s="2">
        <f>HOUR(E13)+MINUTE(E13)/60+SECOND(E13)/3600</f>
        <v/>
      </c>
      <c r="I13" s="2">
        <f>HOUR(F13)+MINUTE(F13)/60+SECOND(F13)/3600</f>
        <v/>
      </c>
      <c r="K13" s="2">
        <f>SUM(I13-H13)</f>
        <v/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5" t="n">
        <v>0.436712962962963</v>
      </c>
      <c r="F14" s="5" t="n">
        <v>0.4993634259259259</v>
      </c>
      <c r="G14">
        <f>TEXT(F14-E14,"h:mm:ss")</f>
        <v/>
      </c>
      <c r="H14" s="2">
        <f>HOUR(E14)+MINUTE(E14)/60+SECOND(E14)/3600</f>
        <v/>
      </c>
      <c r="I14" s="2">
        <f>HOUR(F14)+MINUTE(F14)/60+SECOND(F14)/3600</f>
        <v/>
      </c>
      <c r="K14" s="2">
        <f>SUM(I14-H14)</f>
        <v/>
      </c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5" t="n">
        <v>0.6136226851851851</v>
      </c>
      <c r="F15" s="3" t="n">
        <v>0.6136226851851851</v>
      </c>
      <c r="G15">
        <f>TEXT(F15-E15,"h:mm:ss")</f>
        <v/>
      </c>
      <c r="H15" s="2">
        <f>HOUR(E15)+MINUTE(E15)/60+SECOND(E15)/3600</f>
        <v/>
      </c>
      <c r="I15" s="2">
        <f>HOUR(F15)+MINUTE(F15)/60+SECOND(F15)/3600</f>
        <v/>
      </c>
      <c r="K15" s="2">
        <f>SUM(I15-H15)</f>
        <v/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5" t="n">
        <v>0.6373726851851852</v>
      </c>
      <c r="F16" s="5" t="n">
        <v>0.6618055555555555</v>
      </c>
      <c r="G16">
        <f>TEXT(F16-E16,"h:mm:ss")</f>
        <v/>
      </c>
      <c r="H16" s="2">
        <f>HOUR(E16)+MINUTE(E16)/60+SECOND(E16)/3600</f>
        <v/>
      </c>
      <c r="I16" s="2">
        <f>HOUR(F16)+MINUTE(F16)/60+SECOND(F16)/3600</f>
        <v/>
      </c>
      <c r="K16" s="2">
        <f>SUM(I16-H16)</f>
        <v/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>
        <f>TEXT(F17-E17,"h:mm:ss")</f>
        <v/>
      </c>
      <c r="H17" s="2">
        <f>HOUR(E17)+MINUTE(E17)/60+SECOND(E17)/3600</f>
        <v/>
      </c>
      <c r="I17" s="2">
        <f>HOUR(F17)+MINUTE(F17)/60+SECOND(F17)/3600</f>
        <v/>
      </c>
      <c r="K17" s="2">
        <f>SUM(I17-H17)</f>
        <v/>
      </c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>
        <f>TEXT(F18-E18,"h:mm:ss")</f>
        <v/>
      </c>
      <c r="H18" s="2">
        <f>HOUR(E18)+MINUTE(E18)/60+SECOND(E18)/3600</f>
        <v/>
      </c>
      <c r="I18" s="2">
        <f>HOUR(F18)+MINUTE(F18)/60+SECOND(F18)/3600</f>
        <v/>
      </c>
      <c r="K18" s="2">
        <f>SUM(I18-H18)</f>
        <v/>
      </c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>
        <f>TEXT(F19-E19,"h:mm:ss")</f>
        <v/>
      </c>
      <c r="H19" s="2">
        <f>HOUR(E19)+MINUTE(E19)/60+SECOND(E19)/3600</f>
        <v/>
      </c>
      <c r="I19" s="2">
        <f>HOUR(F19)+MINUTE(F19)/60+SECOND(F19)/3600</f>
        <v/>
      </c>
      <c r="K19" s="2">
        <f>SUM(I19-H19)</f>
        <v/>
      </c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>
        <f>TEXT(F20-E20,"h:mm:ss")</f>
        <v/>
      </c>
      <c r="H20" s="2">
        <f>HOUR(E20)+MINUTE(E20)/60+SECOND(E20)/3600</f>
        <v/>
      </c>
      <c r="I20" s="2">
        <f>HOUR(F20)+MINUTE(F20)/60+SECOND(F20)/3600</f>
        <v/>
      </c>
      <c r="K20" s="2">
        <f>SUM(I20-H20)</f>
        <v/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>
        <f>TEXT(F21-E21,"h:mm:ss")</f>
        <v/>
      </c>
      <c r="H21" s="2">
        <f>HOUR(E21)+MINUTE(E21)/60+SECOND(E21)/3600</f>
        <v/>
      </c>
      <c r="I21" s="2">
        <f>HOUR(F21)+MINUTE(F21)/60+SECOND(F21)/3600</f>
        <v/>
      </c>
      <c r="K21" s="2">
        <f>SUM(I21-H21)</f>
        <v/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>
        <f>TEXT(F22-E22,"h:mm:ss")</f>
        <v/>
      </c>
      <c r="H22" s="2">
        <f>HOUR(E22)+MINUTE(E22)/60+SECOND(E22)/3600</f>
        <v/>
      </c>
      <c r="I22" s="2">
        <f>HOUR(F22)+MINUTE(F22)/60+SECOND(F22)/3600</f>
        <v/>
      </c>
      <c r="K22" s="2">
        <f>SUM(I22-H22)</f>
        <v/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>
        <f>TEXT(F23-E23,"h:mm:ss")</f>
        <v/>
      </c>
      <c r="H23" s="2">
        <f>HOUR(E23)+MINUTE(E23)/60+SECOND(E23)/3600</f>
        <v/>
      </c>
      <c r="I23" s="2">
        <f>HOUR(F23)+MINUTE(F23)/60+SECOND(F23)/3600</f>
        <v/>
      </c>
      <c r="K23" s="2">
        <f>SUM(I23-H23)</f>
        <v/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>
        <f>TEXT(F24-E24,"h:mm:ss")</f>
        <v/>
      </c>
      <c r="H24" s="2">
        <f>HOUR(E24)+MINUTE(E24)/60+SECOND(E24)/3600</f>
        <v/>
      </c>
      <c r="I24" s="2">
        <f>HOUR(F24)+MINUTE(F24)/60+SECOND(F24)/3600</f>
        <v/>
      </c>
      <c r="K24" s="2">
        <f>SUM(I24-H24)</f>
        <v/>
      </c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</row>
    <row r="28">
      <c r="A28" s="4" t="n">
        <v>44258</v>
      </c>
      <c r="B28" t="n">
        <v>26331</v>
      </c>
      <c r="D28" t="inlineStr">
        <is>
          <t>prem service</t>
        </is>
      </c>
      <c r="G28">
        <f>TEXT(F28-E28,"h:mm:ss")</f>
        <v/>
      </c>
      <c r="H28" s="2">
        <f>HOUR(E28)+MINUTE(E28)/60+SECOND(E28)/3600</f>
        <v/>
      </c>
      <c r="I28" s="2">
        <f>HOUR(F28)+MINUTE(F28)/60+SECOND(F28)/3600</f>
        <v/>
      </c>
      <c r="K28" s="2">
        <f>SUM(I28-H28)</f>
        <v/>
      </c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>
        <f>TEXT(F29-E29,"h:mm:ss")</f>
        <v/>
      </c>
      <c r="H29" s="2">
        <f>HOUR(E29)+MINUTE(E29)/60+SECOND(E29)/3600</f>
        <v/>
      </c>
      <c r="I29" s="2">
        <f>HOUR(F29)+MINUTE(F29)/60+SECOND(F29)/3600</f>
        <v/>
      </c>
      <c r="K29" s="2">
        <f>SUM(I29-H29)</f>
        <v/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>
        <f>TEXT(F30-E30,"h:mm:ss")</f>
        <v/>
      </c>
      <c r="H30" s="2">
        <f>HOUR(E30)+MINUTE(E30)/60+SECOND(E30)/3600</f>
        <v/>
      </c>
      <c r="I30" s="2">
        <f>HOUR(F30)+MINUTE(F30)/60+SECOND(F30)/3600</f>
        <v/>
      </c>
      <c r="K30" s="2">
        <f>SUM(I30-H30)</f>
        <v/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>
        <f>TEXT(F32-E32,"h:mm:ss")</f>
        <v/>
      </c>
      <c r="H32" s="2">
        <f>HOUR(E32)+MINUTE(E32)/60+SECOND(E32)/3600</f>
        <v/>
      </c>
      <c r="I32" s="2">
        <f>HOUR(F32)+MINUTE(F32)/60+SECOND(F32)/3600</f>
        <v/>
      </c>
      <c r="K32" s="2">
        <f>SUM(I32-H32)</f>
        <v/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</row>
    <row r="35">
      <c r="A35" s="4" t="n">
        <v>44258</v>
      </c>
      <c r="B35" t="n">
        <v>26348</v>
      </c>
      <c r="D35" t="inlineStr">
        <is>
          <t>prem service</t>
        </is>
      </c>
    </row>
    <row r="36">
      <c r="A36" s="4" t="n">
        <v>44258</v>
      </c>
      <c r="B36" t="n">
        <v>26348</v>
      </c>
      <c r="D36" t="inlineStr">
        <is>
          <t>check hyro hose</t>
        </is>
      </c>
    </row>
    <row r="37">
      <c r="A37" s="4" t="n">
        <v>44258</v>
      </c>
      <c r="B37" t="n">
        <v>26348</v>
      </c>
      <c r="D37" t="inlineStr">
        <is>
          <t>check headlights</t>
        </is>
      </c>
    </row>
    <row r="38">
      <c r="A38" s="4" t="n">
        <v>44258</v>
      </c>
      <c r="B38" t="n">
        <v>26349</v>
      </c>
      <c r="D38" t="inlineStr">
        <is>
          <t>warr unti making noise</t>
        </is>
      </c>
    </row>
    <row r="39">
      <c r="A39" s="4" t="n">
        <v>44258</v>
      </c>
      <c r="B39" t="n">
        <v>26349</v>
      </c>
      <c r="D39" t="inlineStr">
        <is>
          <t>warranty decal</t>
        </is>
      </c>
    </row>
    <row r="40">
      <c r="A40" s="4" t="n">
        <v>44258</v>
      </c>
      <c r="B40" t="n">
        <v>26352</v>
      </c>
      <c r="D40" t="inlineStr">
        <is>
          <t>prem service</t>
        </is>
      </c>
    </row>
    <row r="41">
      <c r="A41" s="4" t="n">
        <v>44258</v>
      </c>
      <c r="B41" t="n">
        <v>26352</v>
      </c>
      <c r="D41" t="inlineStr">
        <is>
          <t>check toe</t>
        </is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</row>
    <row r="44">
      <c r="A44" s="4" t="n">
        <v>44258</v>
      </c>
      <c r="B44" t="n">
        <v>26376</v>
      </c>
      <c r="D44" t="inlineStr">
        <is>
          <t>starter issue</t>
        </is>
      </c>
    </row>
    <row r="45">
      <c r="A45" s="4" t="n">
        <v>44258</v>
      </c>
      <c r="B45" t="n">
        <v>26380</v>
      </c>
      <c r="D45" t="inlineStr">
        <is>
          <t>speedo and regulator</t>
        </is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</row>
    <row r="48">
      <c r="A48" s="4" t="n"/>
    </row>
  </sheetData>
  <pageMargins left="0" right="0" top="0.3937" bottom="0.3937" header="0" footer="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Luther Haynes</dc:creator>
  <dcterms:created xsi:type="dcterms:W3CDTF">2021-03-02T08:01:00Z</dcterms:created>
  <dcterms:modified xsi:type="dcterms:W3CDTF">2026-03-23T09:39:26Z</dcterms:modified>
  <cp:lastModifiedBy>86180</cp:lastModifiedBy>
  <cp:revision>5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65BACFE732514305ACBD50E02EFBAE64_12</vt:lpwstr>
  </property>
  <property name="KSOProductBuildVer" fmtid="{D5CDD505-2E9C-101B-9397-08002B2CF9AE}" pid="3">
    <vt:lpwstr>2052-12.1.0.16729</vt:lpwstr>
  </property>
</Properties>
</file>