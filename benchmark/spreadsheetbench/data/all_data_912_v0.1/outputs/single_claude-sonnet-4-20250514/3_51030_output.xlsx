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780" yWindow="74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1"/>
      <sz val="10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C58"/>
  <sheetViews>
    <sheetView tabSelected="1" workbookViewId="0">
      <selection activeCell="G17" sqref="G17"/>
    </sheetView>
  </sheetViews>
  <sheetFormatPr baseColWidth="10" defaultColWidth="8.83203125" defaultRowHeight="15"/>
  <cols>
    <col width="19.83203125" bestFit="1" customWidth="1" min="3" max="3"/>
  </cols>
  <sheetData>
    <row r="5">
      <c r="B5" t="inlineStr">
        <is>
          <t>2024-01-01</t>
        </is>
      </c>
      <c r="C5" t="inlineStr">
        <is>
          <t>2024-01-08</t>
        </is>
      </c>
      <c r="D5" t="inlineStr">
        <is>
          <t>2024-01-15</t>
        </is>
      </c>
    </row>
    <row r="12">
      <c r="C12" s="1" t="n"/>
      <c r="D12" s="11">
        <f t="array" ref="D12:W12">"WK "&amp;_xlfn.SEQUENCE(1,20,B13)</f>
        <v/>
      </c>
      <c r="E12" s="11" t="inlineStr">
        <is>
          <t>WK 21</t>
        </is>
      </c>
      <c r="F12" s="3" t="inlineStr">
        <is>
          <t>WK 22</t>
        </is>
      </c>
      <c r="G12" s="3" t="inlineStr">
        <is>
          <t>WK 23</t>
        </is>
      </c>
      <c r="H12" s="3" t="inlineStr">
        <is>
          <t>WK 24</t>
        </is>
      </c>
      <c r="I12" s="3" t="inlineStr">
        <is>
          <t>WK 25</t>
        </is>
      </c>
      <c r="J12" s="3" t="inlineStr">
        <is>
          <t>WK 26</t>
        </is>
      </c>
      <c r="K12" s="3" t="inlineStr">
        <is>
          <t>WK 27</t>
        </is>
      </c>
      <c r="L12" s="3" t="inlineStr">
        <is>
          <t>WK 28</t>
        </is>
      </c>
      <c r="M12" s="3" t="inlineStr">
        <is>
          <t>WK 29</t>
        </is>
      </c>
      <c r="N12" s="3" t="inlineStr">
        <is>
          <t>WK 30</t>
        </is>
      </c>
      <c r="O12" s="3" t="inlineStr">
        <is>
          <t>WK 31</t>
        </is>
      </c>
      <c r="P12" s="3" t="inlineStr">
        <is>
          <t>WK 32</t>
        </is>
      </c>
      <c r="Q12" s="3" t="inlineStr">
        <is>
          <t>WK 33</t>
        </is>
      </c>
      <c r="R12" s="3" t="inlineStr">
        <is>
          <t>WK 34</t>
        </is>
      </c>
      <c r="S12" s="3" t="inlineStr">
        <is>
          <t>WK 35</t>
        </is>
      </c>
      <c r="T12" s="3" t="inlineStr">
        <is>
          <t>WK 36</t>
        </is>
      </c>
      <c r="U12" s="3" t="inlineStr">
        <is>
          <t>WK 37</t>
        </is>
      </c>
      <c r="V12" s="3" t="inlineStr">
        <is>
          <t>WK 38</t>
        </is>
      </c>
      <c r="W12" s="3" t="inlineStr">
        <is>
          <t>WK 39</t>
        </is>
      </c>
    </row>
    <row r="13">
      <c r="B13" t="n">
        <v>20</v>
      </c>
      <c r="C13" s="4" t="inlineStr">
        <is>
          <t xml:space="preserve">Reason 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C14" s="8" t="inlineStr">
        <is>
          <t>Inclusions</t>
        </is>
      </c>
      <c r="D14" s="6">
        <f>IF(AND(B5&lt;&gt;"",B5&gt;=MIN($A$20:$A$35),B5&lt;=MAX($A$20:$A$35)),INDEX($B$20:$B$35,MATCH(B5,$A$20:$A$35,0)),"")</f>
        <v/>
      </c>
      <c r="E14" s="6">
        <f>IFERROR(INDEX($B$20:$B$35,MATCH(E5,$A$20:$A$35,0)),"")</f>
        <v/>
      </c>
      <c r="F14" s="2">
        <f>IFERROR(INDEX($B$20:$B$35,MATCH(F5,$A$20:$A$35,0)),"")</f>
        <v/>
      </c>
      <c r="G14" s="2">
        <f>IFERROR(INDEX($B$20:$B$35,MATCH(G5,$A$20:$A$35,0)),"")</f>
        <v/>
      </c>
      <c r="H14" s="2">
        <f>IFERROR(INDEX($B$20:$B$35,MATCH(H5,$A$20:$A$35,0)),"")</f>
        <v/>
      </c>
      <c r="I14" s="2">
        <f>IFERROR(INDEX($B$20:$B$35,MATCH(I5,$A$20:$A$35,0)),"")</f>
        <v/>
      </c>
      <c r="J14" s="2">
        <f>IFERROR(INDEX($B$20:$B$35,MATCH(J5,$A$20:$A$35,0)),"")</f>
        <v/>
      </c>
      <c r="K14" s="2">
        <f>IFERROR(INDEX($B$20:$B$35,MATCH(K5,$A$20:$A$35,0)),"")</f>
        <v/>
      </c>
      <c r="L14" s="2">
        <f>IFERROR(INDEX($B$20:$B$35,MATCH(L5,$A$20:$A$35,0)),"")</f>
        <v/>
      </c>
      <c r="M14" s="2">
        <f>IFERROR(INDEX($B$20:$B$35,MATCH(M5,$A$20:$A$35,0)),"")</f>
        <v/>
      </c>
      <c r="N14" s="2">
        <f>IFERROR(INDEX($B$20:$B$35,MATCH(N5,$A$20:$A$35,0)),"")</f>
        <v/>
      </c>
      <c r="O14" s="2">
        <f>IFERROR(INDEX($B$20:$B$35,MATCH(O5,$A$20:$A$35,0)),"")</f>
        <v/>
      </c>
      <c r="P14" s="2">
        <f>IFERROR(INDEX($B$20:$B$35,MATCH(P5,$A$20:$A$35,0)),"")</f>
        <v/>
      </c>
      <c r="Q14" s="2">
        <f>IFERROR(INDEX($B$20:$B$35,MATCH(Q5,$A$20:$A$35,0)),"")</f>
        <v/>
      </c>
      <c r="R14" s="2">
        <f>IFERROR(INDEX($B$20:$B$35,MATCH(R5,$A$20:$A$35,0)),"")</f>
        <v/>
      </c>
      <c r="S14" s="2">
        <f>IFERROR(INDEX($B$20:$B$35,MATCH(S5,$A$20:$A$35,0)),"")</f>
        <v/>
      </c>
      <c r="T14" s="2">
        <f>IFERROR(INDEX($B$20:$B$35,MATCH(T5,$A$20:$A$35,0)),"")</f>
        <v/>
      </c>
      <c r="U14" s="2">
        <f>IFERROR(INDEX($B$20:$B$35,MATCH(U5,$A$20:$A$35,0)),"")</f>
        <v/>
      </c>
      <c r="V14" s="2">
        <f>IFERROR(INDEX($B$20:$B$35,MATCH(V5,$A$20:$A$35,0)),"")</f>
        <v/>
      </c>
      <c r="W14" s="2" t="n"/>
    </row>
    <row r="15">
      <c r="C15" s="1" t="inlineStr">
        <is>
          <t>Runs</t>
        </is>
      </c>
      <c r="D15" s="2">
        <f>IFERROR(INDEX($B$20:$B$35,MATCH(D5,$A$20:$A$35,0)),"")</f>
        <v/>
      </c>
      <c r="E15" s="2">
        <f>IFERROR(INDEX($B$20:$B$35,MATCH(E5,$A$20:$A$35,0)),"")</f>
        <v/>
      </c>
      <c r="F15" s="2">
        <f>IFERROR(INDEX($B$20:$B$35,MATCH(F5,$A$20:$A$35,0)),"")</f>
        <v/>
      </c>
      <c r="G15" s="2">
        <f>IFERROR(INDEX($B$20:$B$35,MATCH(G5,$A$20:$A$35,0)),"")</f>
        <v/>
      </c>
      <c r="H15" s="2">
        <f>IFERROR(INDEX($B$20:$B$35,MATCH(H5,$A$20:$A$35,0)),"")</f>
        <v/>
      </c>
      <c r="I15" s="2">
        <f>IFERROR(INDEX($B$20:$B$35,MATCH(I5,$A$20:$A$35,0)),"")</f>
        <v/>
      </c>
      <c r="J15" s="2">
        <f>IFERROR(INDEX($B$20:$B$35,MATCH(J5,$A$20:$A$35,0)),"")</f>
        <v/>
      </c>
      <c r="K15" s="2">
        <f>IFERROR(INDEX($B$20:$B$35,MATCH(K5,$A$20:$A$35,0)),"")</f>
        <v/>
      </c>
      <c r="L15" s="2">
        <f>IFERROR(INDEX($B$20:$B$35,MATCH(L5,$A$20:$A$35,0)),"")</f>
        <v/>
      </c>
      <c r="M15" s="2">
        <f>IFERROR(INDEX($B$20:$B$35,MATCH(M5,$A$20:$A$35,0)),"")</f>
        <v/>
      </c>
      <c r="N15" s="2">
        <f>IFERROR(INDEX($B$20:$B$35,MATCH(N5,$A$20:$A$35,0)),"")</f>
        <v/>
      </c>
      <c r="O15" s="2">
        <f>IFERROR(INDEX($B$20:$B$35,MATCH(O5,$A$20:$A$35,0)),"")</f>
        <v/>
      </c>
      <c r="P15" s="2">
        <f>IFERROR(INDEX($B$20:$B$35,MATCH(P5,$A$20:$A$35,0)),"")</f>
        <v/>
      </c>
      <c r="Q15" s="2">
        <f>IFERROR(INDEX($B$20:$B$35,MATCH(Q5,$A$20:$A$35,0)),"")</f>
        <v/>
      </c>
      <c r="R15" s="2">
        <f>IFERROR(INDEX($B$20:$B$35,MATCH(R5,$A$20:$A$35,0)),"")</f>
        <v/>
      </c>
      <c r="S15" s="2">
        <f>IFERROR(INDEX($B$20:$B$35,MATCH(S5,$A$20:$A$35,0)),"")</f>
        <v/>
      </c>
      <c r="T15" s="2">
        <f>IFERROR(INDEX($B$20:$B$35,MATCH(T5,$A$20:$A$35,0)),"")</f>
        <v/>
      </c>
      <c r="U15" s="2">
        <f>IFERROR(INDEX($B$20:$B$35,MATCH(U5,$A$20:$A$35,0)),"")</f>
        <v/>
      </c>
      <c r="V15" s="2">
        <f>IFERROR(INDEX($B$20:$B$35,MATCH(V5,$A$20:$A$35,0)),"")</f>
        <v/>
      </c>
      <c r="W15" s="2" t="n"/>
    </row>
    <row r="16">
      <c r="C16" s="1" t="inlineStr">
        <is>
          <t>Lack of paint</t>
        </is>
      </c>
      <c r="D16" s="2">
        <f>IFERROR(INDEX($B$20:$B$35,MATCH(D5,$A$20:$A$35,0)),"")</f>
        <v/>
      </c>
      <c r="E16" s="2">
        <f>IFERROR(INDEX($B$20:$B$35,MATCH(E5,$A$20:$A$35,0)),"")</f>
        <v/>
      </c>
      <c r="F16" s="2">
        <f>IFERROR(INDEX($B$20:$B$35,MATCH(F5,$A$20:$A$35,0)),"")</f>
        <v/>
      </c>
      <c r="G16" s="2">
        <f>IFERROR(INDEX($B$20:$B$35,MATCH(G5,$A$20:$A$35,0)),"")</f>
        <v/>
      </c>
      <c r="H16" s="2">
        <f>IFERROR(INDEX($B$20:$B$35,MATCH(H5,$A$20:$A$35,0)),"")</f>
        <v/>
      </c>
      <c r="I16" s="2">
        <f>IFERROR(INDEX($B$20:$B$35,MATCH(I5,$A$20:$A$35,0)),"")</f>
        <v/>
      </c>
      <c r="J16" s="2">
        <f>IFERROR(INDEX($B$20:$B$35,MATCH(J5,$A$20:$A$35,0)),"")</f>
        <v/>
      </c>
      <c r="K16" s="2">
        <f>IFERROR(INDEX($B$20:$B$35,MATCH(K5,$A$20:$A$35,0)),"")</f>
        <v/>
      </c>
      <c r="L16" s="2">
        <f>IFERROR(INDEX($B$20:$B$35,MATCH(L5,$A$20:$A$35,0)),"")</f>
        <v/>
      </c>
      <c r="M16" s="2">
        <f>IFERROR(INDEX($B$20:$B$35,MATCH(M5,$A$20:$A$35,0)),"")</f>
        <v/>
      </c>
      <c r="N16" s="2">
        <f>IFERROR(INDEX($B$20:$B$35,MATCH(N5,$A$20:$A$35,0)),"")</f>
        <v/>
      </c>
      <c r="O16" s="2">
        <f>IFERROR(INDEX($B$20:$B$35,MATCH(O5,$A$20:$A$35,0)),"")</f>
        <v/>
      </c>
      <c r="P16" s="2">
        <f>IFERROR(INDEX($B$20:$B$35,MATCH(P5,$A$20:$A$35,0)),"")</f>
        <v/>
      </c>
      <c r="Q16" s="2">
        <f>IFERROR(INDEX($B$20:$B$35,MATCH(Q5,$A$20:$A$35,0)),"")</f>
        <v/>
      </c>
      <c r="R16" s="2">
        <f>IFERROR(INDEX($B$20:$B$35,MATCH(R5,$A$20:$A$35,0)),"")</f>
        <v/>
      </c>
      <c r="S16" s="2">
        <f>IFERROR(INDEX($B$20:$B$35,MATCH(S5,$A$20:$A$35,0)),"")</f>
        <v/>
      </c>
      <c r="T16" s="2">
        <f>IFERROR(INDEX($B$20:$B$35,MATCH(T5,$A$20:$A$35,0)),"")</f>
        <v/>
      </c>
      <c r="U16" s="2">
        <f>IFERROR(INDEX($B$20:$B$35,MATCH(U5,$A$20:$A$35,0)),"")</f>
        <v/>
      </c>
      <c r="V16" s="2">
        <f>IFERROR(INDEX($B$20:$B$35,MATCH(V5,$A$20:$A$35,0)),"")</f>
        <v/>
      </c>
      <c r="W16" s="2" t="n"/>
    </row>
    <row r="17">
      <c r="C17" s="1" t="inlineStr">
        <is>
          <t>Contamination</t>
        </is>
      </c>
      <c r="D17" s="2">
        <f>IFERROR(INDEX($B$20:$B$35,MATCH(D5,$A$20:$A$35,0)),"")</f>
        <v/>
      </c>
      <c r="E17" s="2">
        <f>IFERROR(INDEX($B$20:$B$35,MATCH(E5,$A$20:$A$35,0)),"")</f>
        <v/>
      </c>
      <c r="F17" s="2">
        <f>IFERROR(INDEX($B$20:$B$35,MATCH(F5,$A$20:$A$35,0)),"")</f>
        <v/>
      </c>
      <c r="G17" s="2">
        <f>IFERROR(INDEX($B$20:$B$35,MATCH(G5,$A$20:$A$35,0)),"")</f>
        <v/>
      </c>
      <c r="H17" s="2">
        <f>IFERROR(INDEX($B$20:$B$35,MATCH(H5,$A$20:$A$35,0)),"")</f>
        <v/>
      </c>
      <c r="I17" s="2">
        <f>IFERROR(INDEX($B$20:$B$35,MATCH(I5,$A$20:$A$35,0)),"")</f>
        <v/>
      </c>
      <c r="J17" s="2">
        <f>IFERROR(INDEX($B$20:$B$35,MATCH(J5,$A$20:$A$35,0)),"")</f>
        <v/>
      </c>
      <c r="K17" s="2">
        <f>IFERROR(INDEX($B$20:$B$35,MATCH(K5,$A$20:$A$35,0)),"")</f>
        <v/>
      </c>
      <c r="L17" s="2">
        <f>IFERROR(INDEX($B$20:$B$35,MATCH(L5,$A$20:$A$35,0)),"")</f>
        <v/>
      </c>
      <c r="M17" s="2">
        <f>IFERROR(INDEX($B$20:$B$35,MATCH(M5,$A$20:$A$35,0)),"")</f>
        <v/>
      </c>
      <c r="N17" s="2">
        <f>IFERROR(INDEX($B$20:$B$35,MATCH(N5,$A$20:$A$35,0)),"")</f>
        <v/>
      </c>
      <c r="O17" s="2">
        <f>IFERROR(INDEX($B$20:$B$35,MATCH(O5,$A$20:$A$35,0)),"")</f>
        <v/>
      </c>
      <c r="P17" s="2">
        <f>IFERROR(INDEX($B$20:$B$35,MATCH(P5,$A$20:$A$35,0)),"")</f>
        <v/>
      </c>
      <c r="Q17" s="2">
        <f>IFERROR(INDEX($B$20:$B$35,MATCH(Q5,$A$20:$A$35,0)),"")</f>
        <v/>
      </c>
      <c r="R17" s="2">
        <f>IFERROR(INDEX($B$20:$B$35,MATCH(R5,$A$20:$A$35,0)),"")</f>
        <v/>
      </c>
      <c r="S17" s="2">
        <f>IFERROR(INDEX($B$20:$B$35,MATCH(S5,$A$20:$A$35,0)),"")</f>
        <v/>
      </c>
      <c r="T17" s="2">
        <f>IFERROR(INDEX($B$20:$B$35,MATCH(T5,$A$20:$A$35,0)),"")</f>
        <v/>
      </c>
      <c r="U17" s="2">
        <f>IFERROR(INDEX($B$20:$B$35,MATCH(U5,$A$20:$A$35,0)),"")</f>
        <v/>
      </c>
      <c r="V17" s="2">
        <f>IFERROR(INDEX($B$20:$B$35,MATCH(V5,$A$20:$A$35,0)),"")</f>
        <v/>
      </c>
      <c r="W17" s="2" t="n"/>
    </row>
    <row r="18">
      <c r="C18" s="1" t="inlineStr">
        <is>
          <t>Scratches</t>
        </is>
      </c>
      <c r="D18" s="2">
        <f>IFERROR(INDEX($B$20:$B$35,MATCH(D5,$A$20:$A$35,0)),"")</f>
        <v/>
      </c>
      <c r="E18" s="2">
        <f>IFERROR(INDEX($B$20:$B$35,MATCH(E5,$A$20:$A$35,0)),"")</f>
        <v/>
      </c>
      <c r="F18" s="2">
        <f>IFERROR(INDEX($B$20:$B$35,MATCH(F5,$A$20:$A$35,0)),"")</f>
        <v/>
      </c>
      <c r="G18" s="2">
        <f>IFERROR(INDEX($B$20:$B$35,MATCH(G5,$A$20:$A$35,0)),"")</f>
        <v/>
      </c>
      <c r="H18" s="2">
        <f>IFERROR(INDEX($B$20:$B$35,MATCH(H5,$A$20:$A$35,0)),"")</f>
        <v/>
      </c>
      <c r="I18" s="2">
        <f>IFERROR(INDEX($B$20:$B$35,MATCH(I5,$A$20:$A$35,0)),"")</f>
        <v/>
      </c>
      <c r="J18" s="2">
        <f>IFERROR(INDEX($B$20:$B$35,MATCH(J5,$A$20:$A$35,0)),"")</f>
        <v/>
      </c>
      <c r="K18" s="2">
        <f>IFERROR(INDEX($B$20:$B$35,MATCH(K5,$A$20:$A$35,0)),"")</f>
        <v/>
      </c>
      <c r="L18" s="2">
        <f>IFERROR(INDEX($B$20:$B$35,MATCH(L5,$A$20:$A$35,0)),"")</f>
        <v/>
      </c>
      <c r="M18" s="2">
        <f>IFERROR(INDEX($B$20:$B$35,MATCH(M5,$A$20:$A$35,0)),"")</f>
        <v/>
      </c>
      <c r="N18" s="2">
        <f>IFERROR(INDEX($B$20:$B$35,MATCH(N5,$A$20:$A$35,0)),"")</f>
        <v/>
      </c>
      <c r="O18" s="2">
        <f>IFERROR(INDEX($B$20:$B$35,MATCH(O5,$A$20:$A$35,0)),"")</f>
        <v/>
      </c>
      <c r="P18" s="2">
        <f>IFERROR(INDEX($B$20:$B$35,MATCH(P5,$A$20:$A$35,0)),"")</f>
        <v/>
      </c>
      <c r="Q18" s="2">
        <f>IFERROR(INDEX($B$20:$B$35,MATCH(Q5,$A$20:$A$35,0)),"")</f>
        <v/>
      </c>
      <c r="R18" s="2">
        <f>IFERROR(INDEX($B$20:$B$35,MATCH(R5,$A$20:$A$35,0)),"")</f>
        <v/>
      </c>
      <c r="S18" s="2">
        <f>IFERROR(INDEX($B$20:$B$35,MATCH(S5,$A$20:$A$35,0)),"")</f>
        <v/>
      </c>
      <c r="T18" s="2">
        <f>IFERROR(INDEX($B$20:$B$35,MATCH(T5,$A$20:$A$35,0)),"")</f>
        <v/>
      </c>
      <c r="U18" s="2">
        <f>IFERROR(INDEX($B$20:$B$35,MATCH(U5,$A$20:$A$35,0)),"")</f>
        <v/>
      </c>
      <c r="V18" s="2">
        <f>IFERROR(INDEX($B$20:$B$35,MATCH(V5,$A$20:$A$35,0)),"")</f>
        <v/>
      </c>
      <c r="W18" s="2" t="n"/>
    </row>
    <row r="19">
      <c r="C19" s="1" t="inlineStr">
        <is>
          <t>Flash</t>
        </is>
      </c>
      <c r="D19" s="2">
        <f>IFERROR(INDEX($B$20:$B$35,MATCH(D5,$A$20:$A$35,0)),"")</f>
        <v/>
      </c>
      <c r="E19" s="2">
        <f>IFERROR(INDEX($B$20:$B$35,MATCH(E5,$A$20:$A$35,0)),"")</f>
        <v/>
      </c>
      <c r="F19" s="2">
        <f>IFERROR(INDEX($B$20:$B$35,MATCH(F5,$A$20:$A$35,0)),"")</f>
        <v/>
      </c>
      <c r="G19" s="2">
        <f>IFERROR(INDEX($B$20:$B$35,MATCH(G5,$A$20:$A$35,0)),"")</f>
        <v/>
      </c>
      <c r="H19" s="2">
        <f>IFERROR(INDEX($B$20:$B$35,MATCH(H5,$A$20:$A$35,0)),"")</f>
        <v/>
      </c>
      <c r="I19" s="2">
        <f>IFERROR(INDEX($B$20:$B$35,MATCH(I5,$A$20:$A$35,0)),"")</f>
        <v/>
      </c>
      <c r="J19" s="2">
        <f>IFERROR(INDEX($B$20:$B$35,MATCH(J5,$A$20:$A$35,0)),"")</f>
        <v/>
      </c>
      <c r="K19" s="2">
        <f>IFERROR(INDEX($B$20:$B$35,MATCH(K5,$A$20:$A$35,0)),"")</f>
        <v/>
      </c>
      <c r="L19" s="2">
        <f>IFERROR(INDEX($B$20:$B$35,MATCH(L5,$A$20:$A$35,0)),"")</f>
        <v/>
      </c>
      <c r="M19" s="2">
        <f>IFERROR(INDEX($B$20:$B$35,MATCH(M5,$A$20:$A$35,0)),"")</f>
        <v/>
      </c>
      <c r="N19" s="2">
        <f>IFERROR(INDEX($B$20:$B$35,MATCH(N5,$A$20:$A$35,0)),"")</f>
        <v/>
      </c>
      <c r="O19" s="2">
        <f>IFERROR(INDEX($B$20:$B$35,MATCH(O5,$A$20:$A$35,0)),"")</f>
        <v/>
      </c>
      <c r="P19" s="2">
        <f>IFERROR(INDEX($B$20:$B$35,MATCH(P5,$A$20:$A$35,0)),"")</f>
        <v/>
      </c>
      <c r="Q19" s="2">
        <f>IFERROR(INDEX($B$20:$B$35,MATCH(Q5,$A$20:$A$35,0)),"")</f>
        <v/>
      </c>
      <c r="R19" s="2">
        <f>IFERROR(INDEX($B$20:$B$35,MATCH(R5,$A$20:$A$35,0)),"")</f>
        <v/>
      </c>
      <c r="S19" s="2">
        <f>IFERROR(INDEX($B$20:$B$35,MATCH(S5,$A$20:$A$35,0)),"")</f>
        <v/>
      </c>
      <c r="T19" s="2">
        <f>IFERROR(INDEX($B$20:$B$35,MATCH(T5,$A$20:$A$35,0)),"")</f>
        <v/>
      </c>
      <c r="U19" s="2">
        <f>IFERROR(INDEX($B$20:$B$35,MATCH(U5,$A$20:$A$35,0)),"")</f>
        <v/>
      </c>
      <c r="V19" s="2">
        <f>IFERROR(INDEX($B$20:$B$35,MATCH(V5,$A$20:$A$35,0)),"")</f>
        <v/>
      </c>
      <c r="W19" s="2" t="n"/>
    </row>
    <row r="20">
      <c r="A20" t="inlineStr">
        <is>
          <t>2024-01-01</t>
        </is>
      </c>
      <c r="B20" t="n">
        <v>1</v>
      </c>
      <c r="C20" s="1" t="inlineStr">
        <is>
          <t>Damage</t>
        </is>
      </c>
      <c r="D20" s="2">
        <f>IFERROR(INDEX($B$20:$B$35,MATCH(D5,$A$20:$A$35,0)),"")</f>
        <v/>
      </c>
      <c r="E20" s="2">
        <f>IFERROR(INDEX($B$20:$B$35,MATCH(E5,$A$20:$A$35,0)),"")</f>
        <v/>
      </c>
      <c r="F20" s="2">
        <f>IFERROR(INDEX($B$20:$B$35,MATCH(F5,$A$20:$A$35,0)),"")</f>
        <v/>
      </c>
      <c r="G20" s="2">
        <f>IFERROR(INDEX($B$20:$B$35,MATCH(G5,$A$20:$A$35,0)),"")</f>
        <v/>
      </c>
      <c r="H20" s="2">
        <f>IFERROR(INDEX($B$20:$B$35,MATCH(H5,$A$20:$A$35,0)),"")</f>
        <v/>
      </c>
      <c r="I20" s="2">
        <f>IFERROR(INDEX($B$20:$B$35,MATCH(I5,$A$20:$A$35,0)),"")</f>
        <v/>
      </c>
      <c r="J20" s="2">
        <f>IFERROR(INDEX($B$20:$B$35,MATCH(J5,$A$20:$A$35,0)),"")</f>
        <v/>
      </c>
      <c r="K20" s="2">
        <f>IFERROR(INDEX($B$20:$B$35,MATCH(K5,$A$20:$A$35,0)),"")</f>
        <v/>
      </c>
      <c r="L20" s="2">
        <f>IFERROR(INDEX($B$20:$B$35,MATCH(L5,$A$20:$A$35,0)),"")</f>
        <v/>
      </c>
      <c r="M20" s="2">
        <f>IFERROR(INDEX($B$20:$B$35,MATCH(M5,$A$20:$A$35,0)),"")</f>
        <v/>
      </c>
      <c r="N20" s="2">
        <f>IFERROR(INDEX($B$20:$B$35,MATCH(N5,$A$20:$A$35,0)),"")</f>
        <v/>
      </c>
      <c r="O20" s="2">
        <f>IFERROR(INDEX($B$20:$B$35,MATCH(O5,$A$20:$A$35,0)),"")</f>
        <v/>
      </c>
      <c r="P20" s="2">
        <f>IFERROR(INDEX($B$20:$B$35,MATCH(P5,$A$20:$A$35,0)),"")</f>
        <v/>
      </c>
      <c r="Q20" s="2">
        <f>IFERROR(INDEX($B$20:$B$35,MATCH(Q5,$A$20:$A$35,0)),"")</f>
        <v/>
      </c>
      <c r="R20" s="2">
        <f>IFERROR(INDEX($B$20:$B$35,MATCH(R5,$A$20:$A$35,0)),"")</f>
        <v/>
      </c>
      <c r="S20" s="2">
        <f>IFERROR(INDEX($B$20:$B$35,MATCH(S5,$A$20:$A$35,0)),"")</f>
        <v/>
      </c>
      <c r="T20" s="2">
        <f>IFERROR(INDEX($B$20:$B$35,MATCH(T5,$A$20:$A$35,0)),"")</f>
        <v/>
      </c>
      <c r="U20" s="2">
        <f>IFERROR(INDEX($B$20:$B$35,MATCH(U5,$A$20:$A$35,0)),"")</f>
        <v/>
      </c>
      <c r="V20" s="2">
        <f>IFERROR(INDEX($B$20:$B$35,MATCH(V5,$A$20:$A$35,0)),"")</f>
        <v/>
      </c>
      <c r="W20" s="2" t="n"/>
    </row>
    <row r="21">
      <c r="A21" t="inlineStr">
        <is>
          <t>2024-01-08</t>
        </is>
      </c>
      <c r="B21" t="n">
        <v>2</v>
      </c>
      <c r="C21" s="1" t="inlineStr">
        <is>
          <t>Solvent Boil</t>
        </is>
      </c>
      <c r="D21" s="2">
        <f>IFERROR(INDEX($B$20:$B$35,MATCH(D5,$A$20:$A$35,0)),"")</f>
        <v/>
      </c>
      <c r="E21" s="2">
        <f>IFERROR(INDEX($B$20:$B$35,MATCH(E5,$A$20:$A$35,0)),"")</f>
        <v/>
      </c>
      <c r="F21" s="2">
        <f>IFERROR(INDEX($B$20:$B$35,MATCH(F5,$A$20:$A$35,0)),"")</f>
        <v/>
      </c>
      <c r="G21" s="2">
        <f>IFERROR(INDEX($B$20:$B$35,MATCH(G5,$A$20:$A$35,0)),"")</f>
        <v/>
      </c>
      <c r="H21" s="2">
        <f>IFERROR(INDEX($B$20:$B$35,MATCH(H5,$A$20:$A$35,0)),"")</f>
        <v/>
      </c>
      <c r="I21" s="2">
        <f>IFERROR(INDEX($B$20:$B$35,MATCH(I5,$A$20:$A$35,0)),"")</f>
        <v/>
      </c>
      <c r="J21" s="2">
        <f>IFERROR(INDEX($B$20:$B$35,MATCH(J5,$A$20:$A$35,0)),"")</f>
        <v/>
      </c>
      <c r="K21" s="2">
        <f>IFERROR(INDEX($B$20:$B$35,MATCH(K5,$A$20:$A$35,0)),"")</f>
        <v/>
      </c>
      <c r="L21" s="2">
        <f>IFERROR(INDEX($B$20:$B$35,MATCH(L5,$A$20:$A$35,0)),"")</f>
        <v/>
      </c>
      <c r="M21" s="2">
        <f>IFERROR(INDEX($B$20:$B$35,MATCH(M5,$A$20:$A$35,0)),"")</f>
        <v/>
      </c>
      <c r="N21" s="2">
        <f>IFERROR(INDEX($B$20:$B$35,MATCH(N5,$A$20:$A$35,0)),"")</f>
        <v/>
      </c>
      <c r="O21" s="2">
        <f>IFERROR(INDEX($B$20:$B$35,MATCH(O5,$A$20:$A$35,0)),"")</f>
        <v/>
      </c>
      <c r="P21" s="2">
        <f>IFERROR(INDEX($B$20:$B$35,MATCH(P5,$A$20:$A$35,0)),"")</f>
        <v/>
      </c>
      <c r="Q21" s="2">
        <f>IFERROR(INDEX($B$20:$B$35,MATCH(Q5,$A$20:$A$35,0)),"")</f>
        <v/>
      </c>
      <c r="R21" s="2">
        <f>IFERROR(INDEX($B$20:$B$35,MATCH(R5,$A$20:$A$35,0)),"")</f>
        <v/>
      </c>
      <c r="S21" s="2">
        <f>IFERROR(INDEX($B$20:$B$35,MATCH(S5,$A$20:$A$35,0)),"")</f>
        <v/>
      </c>
      <c r="T21" s="2">
        <f>IFERROR(INDEX($B$20:$B$35,MATCH(T5,$A$20:$A$35,0)),"")</f>
        <v/>
      </c>
      <c r="U21" s="2">
        <f>IFERROR(INDEX($B$20:$B$35,MATCH(U5,$A$20:$A$35,0)),"")</f>
        <v/>
      </c>
      <c r="V21" s="2">
        <f>IFERROR(INDEX($B$20:$B$35,MATCH(V5,$A$20:$A$35,0)),"")</f>
        <v/>
      </c>
      <c r="W21" s="2" t="n"/>
    </row>
    <row r="22">
      <c r="A22" t="inlineStr">
        <is>
          <t>2024-01-15</t>
        </is>
      </c>
      <c r="B22" t="n">
        <v>3</v>
      </c>
      <c r="C22" s="1" t="inlineStr">
        <is>
          <t>Patchy paint</t>
        </is>
      </c>
      <c r="D22" s="2">
        <f>IFERROR(INDEX($B$20:$B$35,MATCH(D5,$A$20:$A$35,0)),"")</f>
        <v/>
      </c>
      <c r="E22" s="2">
        <f>IFERROR(INDEX($B$20:$B$35,MATCH(E5,$A$20:$A$35,0)),"")</f>
        <v/>
      </c>
      <c r="F22" s="2">
        <f>IFERROR(INDEX($B$20:$B$35,MATCH(F5,$A$20:$A$35,0)),"")</f>
        <v/>
      </c>
      <c r="G22" s="2">
        <f>IFERROR(INDEX($B$20:$B$35,MATCH(G5,$A$20:$A$35,0)),"")</f>
        <v/>
      </c>
      <c r="H22" s="2">
        <f>IFERROR(INDEX($B$20:$B$35,MATCH(H5,$A$20:$A$35,0)),"")</f>
        <v/>
      </c>
      <c r="I22" s="2">
        <f>IFERROR(INDEX($B$20:$B$35,MATCH(I5,$A$20:$A$35,0)),"")</f>
        <v/>
      </c>
      <c r="J22" s="2">
        <f>IFERROR(INDEX($B$20:$B$35,MATCH(J5,$A$20:$A$35,0)),"")</f>
        <v/>
      </c>
      <c r="K22" s="2">
        <f>IFERROR(INDEX($B$20:$B$35,MATCH(K5,$A$20:$A$35,0)),"")</f>
        <v/>
      </c>
      <c r="L22" s="2">
        <f>IFERROR(INDEX($B$20:$B$35,MATCH(L5,$A$20:$A$35,0)),"")</f>
        <v/>
      </c>
      <c r="M22" s="2">
        <f>IFERROR(INDEX($B$20:$B$35,MATCH(M5,$A$20:$A$35,0)),"")</f>
        <v/>
      </c>
      <c r="N22" s="2">
        <f>IFERROR(INDEX($B$20:$B$35,MATCH(N5,$A$20:$A$35,0)),"")</f>
        <v/>
      </c>
      <c r="O22" s="2">
        <f>IFERROR(INDEX($B$20:$B$35,MATCH(O5,$A$20:$A$35,0)),"")</f>
        <v/>
      </c>
      <c r="P22" s="2">
        <f>IFERROR(INDEX($B$20:$B$35,MATCH(P5,$A$20:$A$35,0)),"")</f>
        <v/>
      </c>
      <c r="Q22" s="2">
        <f>IFERROR(INDEX($B$20:$B$35,MATCH(Q5,$A$20:$A$35,0)),"")</f>
        <v/>
      </c>
      <c r="R22" s="2">
        <f>IFERROR(INDEX($B$20:$B$35,MATCH(R5,$A$20:$A$35,0)),"")</f>
        <v/>
      </c>
      <c r="S22" s="2">
        <f>IFERROR(INDEX($B$20:$B$35,MATCH(S5,$A$20:$A$35,0)),"")</f>
        <v/>
      </c>
      <c r="T22" s="2">
        <f>IFERROR(INDEX($B$20:$B$35,MATCH(T5,$A$20:$A$35,0)),"")</f>
        <v/>
      </c>
      <c r="U22" s="2">
        <f>IFERROR(INDEX($B$20:$B$35,MATCH(U5,$A$20:$A$35,0)),"")</f>
        <v/>
      </c>
      <c r="V22" s="2">
        <f>IFERROR(INDEX($B$20:$B$35,MATCH(V5,$A$20:$A$35,0)),"")</f>
        <v/>
      </c>
      <c r="W22" s="2" t="n"/>
    </row>
    <row r="23">
      <c r="A23" t="inlineStr">
        <is>
          <t>2024-01-22</t>
        </is>
      </c>
      <c r="B23" t="n">
        <v>4</v>
      </c>
      <c r="C23" s="1" t="inlineStr">
        <is>
          <t>Water damage</t>
        </is>
      </c>
      <c r="D23" s="2">
        <f>IFERROR(INDEX($B$20:$B$35,MATCH(D5,$A$20:$A$35,0)),"")</f>
        <v/>
      </c>
      <c r="E23" s="2">
        <f>IFERROR(INDEX($B$20:$B$35,MATCH(E5,$A$20:$A$35,0)),"")</f>
        <v/>
      </c>
      <c r="F23" s="2">
        <f>IFERROR(INDEX($B$20:$B$35,MATCH(F5,$A$20:$A$35,0)),"")</f>
        <v/>
      </c>
      <c r="G23" s="2">
        <f>IFERROR(INDEX($B$20:$B$35,MATCH(G5,$A$20:$A$35,0)),"")</f>
        <v/>
      </c>
      <c r="H23" s="2">
        <f>IFERROR(INDEX($B$20:$B$35,MATCH(H5,$A$20:$A$35,0)),"")</f>
        <v/>
      </c>
      <c r="I23" s="2">
        <f>IFERROR(INDEX($B$20:$B$35,MATCH(I5,$A$20:$A$35,0)),"")</f>
        <v/>
      </c>
      <c r="J23" s="2">
        <f>IFERROR(INDEX($B$20:$B$35,MATCH(J5,$A$20:$A$35,0)),"")</f>
        <v/>
      </c>
      <c r="K23" s="2">
        <f>IFERROR(INDEX($B$20:$B$35,MATCH(K5,$A$20:$A$35,0)),"")</f>
        <v/>
      </c>
      <c r="L23" s="2">
        <f>IFERROR(INDEX($B$20:$B$35,MATCH(L5,$A$20:$A$35,0)),"")</f>
        <v/>
      </c>
      <c r="M23" s="2">
        <f>IFERROR(INDEX($B$20:$B$35,MATCH(M5,$A$20:$A$35,0)),"")</f>
        <v/>
      </c>
      <c r="N23" s="2">
        <f>IFERROR(INDEX($B$20:$B$35,MATCH(N5,$A$20:$A$35,0)),"")</f>
        <v/>
      </c>
      <c r="O23" s="2">
        <f>IFERROR(INDEX($B$20:$B$35,MATCH(O5,$A$20:$A$35,0)),"")</f>
        <v/>
      </c>
      <c r="P23" s="2">
        <f>IFERROR(INDEX($B$20:$B$35,MATCH(P5,$A$20:$A$35,0)),"")</f>
        <v/>
      </c>
      <c r="Q23" s="2">
        <f>IFERROR(INDEX($B$20:$B$35,MATCH(Q5,$A$20:$A$35,0)),"")</f>
        <v/>
      </c>
      <c r="R23" s="2">
        <f>IFERROR(INDEX($B$20:$B$35,MATCH(R5,$A$20:$A$35,0)),"")</f>
        <v/>
      </c>
      <c r="S23" s="2">
        <f>IFERROR(INDEX($B$20:$B$35,MATCH(S5,$A$20:$A$35,0)),"")</f>
        <v/>
      </c>
      <c r="T23" s="2">
        <f>IFERROR(INDEX($B$20:$B$35,MATCH(T5,$A$20:$A$35,0)),"")</f>
        <v/>
      </c>
      <c r="U23" s="2">
        <f>IFERROR(INDEX($B$20:$B$35,MATCH(U5,$A$20:$A$35,0)),"")</f>
        <v/>
      </c>
      <c r="V23" s="2">
        <f>IFERROR(INDEX($B$20:$B$35,MATCH(V5,$A$20:$A$35,0)),"")</f>
        <v/>
      </c>
      <c r="W23" s="2" t="n"/>
    </row>
    <row r="24">
      <c r="A24" t="inlineStr">
        <is>
          <t>2024-01-29</t>
        </is>
      </c>
      <c r="B24" t="n">
        <v>5</v>
      </c>
      <c r="C24" s="1" t="inlineStr">
        <is>
          <t>Sinks</t>
        </is>
      </c>
      <c r="D24" s="2">
        <f>IFERROR(INDEX($B$20:$B$35,MATCH(D5,$A$20:$A$35,0)),"")</f>
        <v/>
      </c>
      <c r="E24" s="2">
        <f>IFERROR(INDEX($B$20:$B$35,MATCH(E5,$A$20:$A$35,0)),"")</f>
        <v/>
      </c>
      <c r="F24" s="2">
        <f>IFERROR(INDEX($B$20:$B$35,MATCH(F5,$A$20:$A$35,0)),"")</f>
        <v/>
      </c>
      <c r="G24" s="2">
        <f>IFERROR(INDEX($B$20:$B$35,MATCH(G5,$A$20:$A$35,0)),"")</f>
        <v/>
      </c>
      <c r="H24" s="2">
        <f>IFERROR(INDEX($B$20:$B$35,MATCH(H5,$A$20:$A$35,0)),"")</f>
        <v/>
      </c>
      <c r="I24" s="2">
        <f>IFERROR(INDEX($B$20:$B$35,MATCH(I5,$A$20:$A$35,0)),"")</f>
        <v/>
      </c>
      <c r="J24" s="2">
        <f>IFERROR(INDEX($B$20:$B$35,MATCH(J5,$A$20:$A$35,0)),"")</f>
        <v/>
      </c>
      <c r="K24" s="2">
        <f>IFERROR(INDEX($B$20:$B$35,MATCH(K5,$A$20:$A$35,0)),"")</f>
        <v/>
      </c>
      <c r="L24" s="2">
        <f>IFERROR(INDEX($B$20:$B$35,MATCH(L5,$A$20:$A$35,0)),"")</f>
        <v/>
      </c>
      <c r="M24" s="2">
        <f>IFERROR(INDEX($B$20:$B$35,MATCH(M5,$A$20:$A$35,0)),"")</f>
        <v/>
      </c>
      <c r="N24" s="2">
        <f>IFERROR(INDEX($B$20:$B$35,MATCH(N5,$A$20:$A$35,0)),"")</f>
        <v/>
      </c>
      <c r="O24" s="2">
        <f>IFERROR(INDEX($B$20:$B$35,MATCH(O5,$A$20:$A$35,0)),"")</f>
        <v/>
      </c>
      <c r="P24" s="2">
        <f>IFERROR(INDEX($B$20:$B$35,MATCH(P5,$A$20:$A$35,0)),"")</f>
        <v/>
      </c>
      <c r="Q24" s="2">
        <f>IFERROR(INDEX($B$20:$B$35,MATCH(Q5,$A$20:$A$35,0)),"")</f>
        <v/>
      </c>
      <c r="R24" s="2">
        <f>IFERROR(INDEX($B$20:$B$35,MATCH(R5,$A$20:$A$35,0)),"")</f>
        <v/>
      </c>
      <c r="S24" s="2">
        <f>IFERROR(INDEX($B$20:$B$35,MATCH(S5,$A$20:$A$35,0)),"")</f>
        <v/>
      </c>
      <c r="T24" s="2">
        <f>IFERROR(INDEX($B$20:$B$35,MATCH(T5,$A$20:$A$35,0)),"")</f>
        <v/>
      </c>
      <c r="U24" s="2">
        <f>IFERROR(INDEX($B$20:$B$35,MATCH(U5,$A$20:$A$35,0)),"")</f>
        <v/>
      </c>
      <c r="V24" s="2">
        <f>IFERROR(INDEX($B$20:$B$35,MATCH(V5,$A$20:$A$35,0)),"")</f>
        <v/>
      </c>
      <c r="W24" s="2" t="n"/>
    </row>
    <row r="25">
      <c r="C25" s="1" t="inlineStr">
        <is>
          <t>Securing Broken Clip</t>
        </is>
      </c>
      <c r="D25" s="2">
        <f>IFERROR(INDEX($B$20:$B$35,MATCH(D5,$A$20:$A$35,0)),"")</f>
        <v/>
      </c>
      <c r="E25" s="2">
        <f>IFERROR(INDEX($B$20:$B$35,MATCH(E5,$A$20:$A$35,0)),"")</f>
        <v/>
      </c>
      <c r="F25" s="2">
        <f>IFERROR(INDEX($B$20:$B$35,MATCH(F5,$A$20:$A$35,0)),"")</f>
        <v/>
      </c>
      <c r="G25" s="2">
        <f>IFERROR(INDEX($B$20:$B$35,MATCH(G5,$A$20:$A$35,0)),"")</f>
        <v/>
      </c>
      <c r="H25" s="2">
        <f>IFERROR(INDEX($B$20:$B$35,MATCH(H5,$A$20:$A$35,0)),"")</f>
        <v/>
      </c>
      <c r="I25" s="2">
        <f>IFERROR(INDEX($B$20:$B$35,MATCH(I5,$A$20:$A$35,0)),"")</f>
        <v/>
      </c>
      <c r="J25" s="2">
        <f>IFERROR(INDEX($B$20:$B$35,MATCH(J5,$A$20:$A$35,0)),"")</f>
        <v/>
      </c>
      <c r="K25" s="2">
        <f>IFERROR(INDEX($B$20:$B$35,MATCH(K5,$A$20:$A$35,0)),"")</f>
        <v/>
      </c>
      <c r="L25" s="2">
        <f>IFERROR(INDEX($B$20:$B$35,MATCH(L5,$A$20:$A$35,0)),"")</f>
        <v/>
      </c>
      <c r="M25" s="2">
        <f>IFERROR(INDEX($B$20:$B$35,MATCH(M5,$A$20:$A$35,0)),"")</f>
        <v/>
      </c>
      <c r="N25" s="2">
        <f>IFERROR(INDEX($B$20:$B$35,MATCH(N5,$A$20:$A$35,0)),"")</f>
        <v/>
      </c>
      <c r="O25" s="2">
        <f>IFERROR(INDEX($B$20:$B$35,MATCH(O5,$A$20:$A$35,0)),"")</f>
        <v/>
      </c>
      <c r="P25" s="2">
        <f>IFERROR(INDEX($B$20:$B$35,MATCH(P5,$A$20:$A$35,0)),"")</f>
        <v/>
      </c>
      <c r="Q25" s="2">
        <f>IFERROR(INDEX($B$20:$B$35,MATCH(Q5,$A$20:$A$35,0)),"")</f>
        <v/>
      </c>
      <c r="R25" s="2">
        <f>IFERROR(INDEX($B$20:$B$35,MATCH(R5,$A$20:$A$35,0)),"")</f>
        <v/>
      </c>
      <c r="S25" s="2">
        <f>IFERROR(INDEX($B$20:$B$35,MATCH(S5,$A$20:$A$35,0)),"")</f>
        <v/>
      </c>
      <c r="T25" s="2">
        <f>IFERROR(INDEX($B$20:$B$35,MATCH(T5,$A$20:$A$35,0)),"")</f>
        <v/>
      </c>
      <c r="U25" s="2">
        <f>IFERROR(INDEX($B$20:$B$35,MATCH(U5,$A$20:$A$35,0)),"")</f>
        <v/>
      </c>
      <c r="V25" s="2">
        <f>IFERROR(INDEX($B$20:$B$35,MATCH(V5,$A$20:$A$35,0)),"")</f>
        <v/>
      </c>
      <c r="W25" s="2" t="n"/>
    </row>
    <row r="26">
      <c r="C26" s="5" t="inlineStr">
        <is>
          <t>Orange Peel</t>
        </is>
      </c>
      <c r="D26" s="2">
        <f>IFERROR(INDEX($B$20:$B$35,MATCH(D5,$A$20:$A$35,0)),"")</f>
        <v/>
      </c>
      <c r="E26" s="2">
        <f>IFERROR(INDEX($B$20:$B$35,MATCH(E5,$A$20:$A$35,0)),"")</f>
        <v/>
      </c>
      <c r="F26" s="2">
        <f>IFERROR(INDEX($B$20:$B$35,MATCH(F5,$A$20:$A$35,0)),"")</f>
        <v/>
      </c>
      <c r="G26" s="2">
        <f>IFERROR(INDEX($B$20:$B$35,MATCH(G5,$A$20:$A$35,0)),"")</f>
        <v/>
      </c>
      <c r="H26" s="2">
        <f>IFERROR(INDEX($B$20:$B$35,MATCH(H5,$A$20:$A$35,0)),"")</f>
        <v/>
      </c>
      <c r="I26" s="2">
        <f>IFERROR(INDEX($B$20:$B$35,MATCH(I5,$A$20:$A$35,0)),"")</f>
        <v/>
      </c>
      <c r="J26" s="2">
        <f>IFERROR(INDEX($B$20:$B$35,MATCH(J5,$A$20:$A$35,0)),"")</f>
        <v/>
      </c>
      <c r="K26" s="2">
        <f>IFERROR(INDEX($B$20:$B$35,MATCH(K5,$A$20:$A$35,0)),"")</f>
        <v/>
      </c>
      <c r="L26" s="2">
        <f>IFERROR(INDEX($B$20:$B$35,MATCH(L5,$A$20:$A$35,0)),"")</f>
        <v/>
      </c>
      <c r="M26" s="2">
        <f>IFERROR(INDEX($B$20:$B$35,MATCH(M5,$A$20:$A$35,0)),"")</f>
        <v/>
      </c>
      <c r="N26" s="2">
        <f>IFERROR(INDEX($B$20:$B$35,MATCH(N5,$A$20:$A$35,0)),"")</f>
        <v/>
      </c>
      <c r="O26" s="2">
        <f>IFERROR(INDEX($B$20:$B$35,MATCH(O5,$A$20:$A$35,0)),"")</f>
        <v/>
      </c>
      <c r="P26" s="2">
        <f>IFERROR(INDEX($B$20:$B$35,MATCH(P5,$A$20:$A$35,0)),"")</f>
        <v/>
      </c>
      <c r="Q26" s="2">
        <f>IFERROR(INDEX($B$20:$B$35,MATCH(Q5,$A$20:$A$35,0)),"")</f>
        <v/>
      </c>
      <c r="R26" s="2">
        <f>IFERROR(INDEX($B$20:$B$35,MATCH(R5,$A$20:$A$35,0)),"")</f>
        <v/>
      </c>
      <c r="S26" s="2">
        <f>IFERROR(INDEX($B$20:$B$35,MATCH(S5,$A$20:$A$35,0)),"")</f>
        <v/>
      </c>
      <c r="T26" s="2">
        <f>IFERROR(INDEX($B$20:$B$35,MATCH(T5,$A$20:$A$35,0)),"")</f>
        <v/>
      </c>
      <c r="U26" s="2">
        <f>IFERROR(INDEX($B$20:$B$35,MATCH(U5,$A$20:$A$35,0)),"")</f>
        <v/>
      </c>
      <c r="V26" s="2">
        <f>IFERROR(INDEX($B$20:$B$35,MATCH(V5,$A$20:$A$35,0)),"")</f>
        <v/>
      </c>
      <c r="W26" s="2" t="n"/>
    </row>
    <row r="27">
      <c r="C27" s="1" t="inlineStr">
        <is>
          <t>Plastics Fault</t>
        </is>
      </c>
      <c r="D27" s="2">
        <f>IFERROR(INDEX($B$20:$B$35,MATCH(D5,$A$20:$A$35,0)),"")</f>
        <v/>
      </c>
      <c r="E27" s="2">
        <f>IFERROR(INDEX($B$20:$B$35,MATCH(E5,$A$20:$A$35,0)),"")</f>
        <v/>
      </c>
      <c r="F27" s="2">
        <f>IFERROR(INDEX($B$20:$B$35,MATCH(F5,$A$20:$A$35,0)),"")</f>
        <v/>
      </c>
      <c r="G27" s="2">
        <f>IFERROR(INDEX($B$20:$B$35,MATCH(G5,$A$20:$A$35,0)),"")</f>
        <v/>
      </c>
      <c r="H27" s="2">
        <f>IFERROR(INDEX($B$20:$B$35,MATCH(H5,$A$20:$A$35,0)),"")</f>
        <v/>
      </c>
      <c r="I27" s="2">
        <f>IFERROR(INDEX($B$20:$B$35,MATCH(I5,$A$20:$A$35,0)),"")</f>
        <v/>
      </c>
      <c r="J27" s="2">
        <f>IFERROR(INDEX($B$20:$B$35,MATCH(J5,$A$20:$A$35,0)),"")</f>
        <v/>
      </c>
      <c r="K27" s="2">
        <f>IFERROR(INDEX($B$20:$B$35,MATCH(K5,$A$20:$A$35,0)),"")</f>
        <v/>
      </c>
      <c r="L27" s="2">
        <f>IFERROR(INDEX($B$20:$B$35,MATCH(L5,$A$20:$A$35,0)),"")</f>
        <v/>
      </c>
      <c r="M27" s="2">
        <f>IFERROR(INDEX($B$20:$B$35,MATCH(M5,$A$20:$A$35,0)),"")</f>
        <v/>
      </c>
      <c r="N27" s="2">
        <f>IFERROR(INDEX($B$20:$B$35,MATCH(N5,$A$20:$A$35,0)),"")</f>
        <v/>
      </c>
      <c r="O27" s="2">
        <f>IFERROR(INDEX($B$20:$B$35,MATCH(O5,$A$20:$A$35,0)),"")</f>
        <v/>
      </c>
      <c r="P27" s="2">
        <f>IFERROR(INDEX($B$20:$B$35,MATCH(P5,$A$20:$A$35,0)),"")</f>
        <v/>
      </c>
      <c r="Q27" s="2">
        <f>IFERROR(INDEX($B$20:$B$35,MATCH(Q5,$A$20:$A$35,0)),"")</f>
        <v/>
      </c>
      <c r="R27" s="2">
        <f>IFERROR(INDEX($B$20:$B$35,MATCH(R5,$A$20:$A$35,0)),"")</f>
        <v/>
      </c>
      <c r="S27" s="2">
        <f>IFERROR(INDEX($B$20:$B$35,MATCH(S5,$A$20:$A$35,0)),"")</f>
        <v/>
      </c>
      <c r="T27" s="2">
        <f>IFERROR(INDEX($B$20:$B$35,MATCH(T5,$A$20:$A$35,0)),"")</f>
        <v/>
      </c>
      <c r="U27" s="2">
        <f>IFERROR(INDEX($B$20:$B$35,MATCH(U5,$A$20:$A$35,0)),"")</f>
        <v/>
      </c>
      <c r="V27" s="2">
        <f>IFERROR(INDEX($B$20:$B$35,MATCH(V5,$A$20:$A$35,0)),"")</f>
        <v/>
      </c>
      <c r="W27" s="2" t="n"/>
    </row>
    <row r="28">
      <c r="C28" s="1" t="inlineStr">
        <is>
          <t>Post Paint Damage</t>
        </is>
      </c>
      <c r="D28" s="2">
        <f>IFERROR(INDEX($B$20:$B$35,MATCH(D5,$A$20:$A$35,0)),"")</f>
        <v/>
      </c>
      <c r="E28" s="2">
        <f>IFERROR(INDEX($B$20:$B$35,MATCH(E5,$A$20:$A$35,0)),"")</f>
        <v/>
      </c>
      <c r="F28" s="2">
        <f>IFERROR(INDEX($B$20:$B$35,MATCH(F5,$A$20:$A$35,0)),"")</f>
        <v/>
      </c>
      <c r="G28" s="2">
        <f>IFERROR(INDEX($B$20:$B$35,MATCH(G5,$A$20:$A$35,0)),"")</f>
        <v/>
      </c>
      <c r="H28" s="2">
        <f>IFERROR(INDEX($B$20:$B$35,MATCH(H5,$A$20:$A$35,0)),"")</f>
        <v/>
      </c>
      <c r="I28" s="2">
        <f>IFERROR(INDEX($B$20:$B$35,MATCH(I5,$A$20:$A$35,0)),"")</f>
        <v/>
      </c>
      <c r="J28" s="2">
        <f>IFERROR(INDEX($B$20:$B$35,MATCH(J5,$A$20:$A$35,0)),"")</f>
        <v/>
      </c>
      <c r="K28" s="2">
        <f>IFERROR(INDEX($B$20:$B$35,MATCH(K5,$A$20:$A$35,0)),"")</f>
        <v/>
      </c>
      <c r="L28" s="2">
        <f>IFERROR(INDEX($B$20:$B$35,MATCH(L5,$A$20:$A$35,0)),"")</f>
        <v/>
      </c>
      <c r="M28" s="2">
        <f>IFERROR(INDEX($B$20:$B$35,MATCH(M5,$A$20:$A$35,0)),"")</f>
        <v/>
      </c>
      <c r="N28" s="2">
        <f>IFERROR(INDEX($B$20:$B$35,MATCH(N5,$A$20:$A$35,0)),"")</f>
        <v/>
      </c>
      <c r="O28" s="2">
        <f>IFERROR(INDEX($B$20:$B$35,MATCH(O5,$A$20:$A$35,0)),"")</f>
        <v/>
      </c>
      <c r="P28" s="2">
        <f>IFERROR(INDEX($B$20:$B$35,MATCH(P5,$A$20:$A$35,0)),"")</f>
        <v/>
      </c>
      <c r="Q28" s="2">
        <f>IFERROR(INDEX($B$20:$B$35,MATCH(Q5,$A$20:$A$35,0)),"")</f>
        <v/>
      </c>
      <c r="R28" s="2">
        <f>IFERROR(INDEX($B$20:$B$35,MATCH(R5,$A$20:$A$35,0)),"")</f>
        <v/>
      </c>
      <c r="S28" s="2">
        <f>IFERROR(INDEX($B$20:$B$35,MATCH(S5,$A$20:$A$35,0)),"")</f>
        <v/>
      </c>
      <c r="T28" s="2">
        <f>IFERROR(INDEX($B$20:$B$35,MATCH(T5,$A$20:$A$35,0)),"")</f>
        <v/>
      </c>
      <c r="U28" s="2">
        <f>IFERROR(INDEX($B$20:$B$35,MATCH(U5,$A$20:$A$35,0)),"")</f>
        <v/>
      </c>
      <c r="V28" s="2">
        <f>IFERROR(INDEX($B$20:$B$35,MATCH(V5,$A$20:$A$35,0)),"")</f>
        <v/>
      </c>
      <c r="W28" s="2" t="n"/>
    </row>
    <row r="29">
      <c r="C29" s="1" t="inlineStr">
        <is>
          <t>Sanding Marks</t>
        </is>
      </c>
      <c r="D29" s="2">
        <f>IFERROR(INDEX($B$20:$B$35,MATCH(D5,$A$20:$A$35,0)),"")</f>
        <v/>
      </c>
      <c r="E29" s="2">
        <f>IFERROR(INDEX($B$20:$B$35,MATCH(E5,$A$20:$A$35,0)),"")</f>
        <v/>
      </c>
      <c r="F29" s="2">
        <f>IFERROR(INDEX($B$20:$B$35,MATCH(F5,$A$20:$A$35,0)),"")</f>
        <v/>
      </c>
      <c r="G29" s="2">
        <f>IFERROR(INDEX($B$20:$B$35,MATCH(G5,$A$20:$A$35,0)),"")</f>
        <v/>
      </c>
      <c r="H29" s="2">
        <f>IFERROR(INDEX($B$20:$B$35,MATCH(H5,$A$20:$A$35,0)),"")</f>
        <v/>
      </c>
      <c r="I29" s="2">
        <f>IFERROR(INDEX($B$20:$B$35,MATCH(I5,$A$20:$A$35,0)),"")</f>
        <v/>
      </c>
      <c r="J29" s="2">
        <f>IFERROR(INDEX($B$20:$B$35,MATCH(J5,$A$20:$A$35,0)),"")</f>
        <v/>
      </c>
      <c r="K29" s="2">
        <f>IFERROR(INDEX($B$20:$B$35,MATCH(K5,$A$20:$A$35,0)),"")</f>
        <v/>
      </c>
      <c r="L29" s="2">
        <f>IFERROR(INDEX($B$20:$B$35,MATCH(L5,$A$20:$A$35,0)),"")</f>
        <v/>
      </c>
      <c r="M29" s="2">
        <f>IFERROR(INDEX($B$20:$B$35,MATCH(M5,$A$20:$A$35,0)),"")</f>
        <v/>
      </c>
      <c r="N29" s="2">
        <f>IFERROR(INDEX($B$20:$B$35,MATCH(N5,$A$20:$A$35,0)),"")</f>
        <v/>
      </c>
      <c r="O29" s="2">
        <f>IFERROR(INDEX($B$20:$B$35,MATCH(O5,$A$20:$A$35,0)),"")</f>
        <v/>
      </c>
      <c r="P29" s="2">
        <f>IFERROR(INDEX($B$20:$B$35,MATCH(P5,$A$20:$A$35,0)),"")</f>
        <v/>
      </c>
      <c r="Q29" s="2">
        <f>IFERROR(INDEX($B$20:$B$35,MATCH(Q5,$A$20:$A$35,0)),"")</f>
        <v/>
      </c>
      <c r="R29" s="2">
        <f>IFERROR(INDEX($B$20:$B$35,MATCH(R5,$A$20:$A$35,0)),"")</f>
        <v/>
      </c>
      <c r="S29" s="2">
        <f>IFERROR(INDEX($B$20:$B$35,MATCH(S5,$A$20:$A$35,0)),"")</f>
        <v/>
      </c>
      <c r="T29" s="2">
        <f>IFERROR(INDEX($B$20:$B$35,MATCH(T5,$A$20:$A$35,0)),"")</f>
        <v/>
      </c>
      <c r="U29" s="2">
        <f>IFERROR(INDEX($B$20:$B$35,MATCH(U5,$A$20:$A$35,0)),"")</f>
        <v/>
      </c>
      <c r="V29" s="2">
        <f>IFERROR(INDEX($B$20:$B$35,MATCH(V5,$A$20:$A$35,0)),"")</f>
        <v/>
      </c>
      <c r="W29" s="2" t="n"/>
    </row>
    <row r="30">
      <c r="C30" s="1" t="inlineStr">
        <is>
          <t>Polish Marks</t>
        </is>
      </c>
      <c r="D30" s="2">
        <f>IFERROR(INDEX($B$20:$B$35,MATCH(D5,$A$20:$A$35,0)),"")</f>
        <v/>
      </c>
      <c r="E30" s="2">
        <f>IFERROR(INDEX($B$20:$B$35,MATCH(E5,$A$20:$A$35,0)),"")</f>
        <v/>
      </c>
      <c r="F30" s="2">
        <f>IFERROR(INDEX($B$20:$B$35,MATCH(F5,$A$20:$A$35,0)),"")</f>
        <v/>
      </c>
      <c r="G30" s="2">
        <f>IFERROR(INDEX($B$20:$B$35,MATCH(G5,$A$20:$A$35,0)),"")</f>
        <v/>
      </c>
      <c r="H30" s="2">
        <f>IFERROR(INDEX($B$20:$B$35,MATCH(H5,$A$20:$A$35,0)),"")</f>
        <v/>
      </c>
      <c r="I30" s="2">
        <f>IFERROR(INDEX($B$20:$B$35,MATCH(I5,$A$20:$A$35,0)),"")</f>
        <v/>
      </c>
      <c r="J30" s="2">
        <f>IFERROR(INDEX($B$20:$B$35,MATCH(J5,$A$20:$A$35,0)),"")</f>
        <v/>
      </c>
      <c r="K30" s="2">
        <f>IFERROR(INDEX($B$20:$B$35,MATCH(K5,$A$20:$A$35,0)),"")</f>
        <v/>
      </c>
      <c r="L30" s="2">
        <f>IFERROR(INDEX($B$20:$B$35,MATCH(L5,$A$20:$A$35,0)),"")</f>
        <v/>
      </c>
      <c r="M30" s="2">
        <f>IFERROR(INDEX($B$20:$B$35,MATCH(M5,$A$20:$A$35,0)),"")</f>
        <v/>
      </c>
      <c r="N30" s="2">
        <f>IFERROR(INDEX($B$20:$B$35,MATCH(N5,$A$20:$A$35,0)),"")</f>
        <v/>
      </c>
      <c r="O30" s="2">
        <f>IFERROR(INDEX($B$20:$B$35,MATCH(O5,$A$20:$A$35,0)),"")</f>
        <v/>
      </c>
      <c r="P30" s="2">
        <f>IFERROR(INDEX($B$20:$B$35,MATCH(P5,$A$20:$A$35,0)),"")</f>
        <v/>
      </c>
      <c r="Q30" s="2">
        <f>IFERROR(INDEX($B$20:$B$35,MATCH(Q5,$A$20:$A$35,0)),"")</f>
        <v/>
      </c>
      <c r="R30" s="2">
        <f>IFERROR(INDEX($B$20:$B$35,MATCH(R5,$A$20:$A$35,0)),"")</f>
        <v/>
      </c>
      <c r="S30" s="2">
        <f>IFERROR(INDEX($B$20:$B$35,MATCH(S5,$A$20:$A$35,0)),"")</f>
        <v/>
      </c>
      <c r="T30" s="2">
        <f>IFERROR(INDEX($B$20:$B$35,MATCH(T5,$A$20:$A$35,0)),"")</f>
        <v/>
      </c>
      <c r="U30" s="2">
        <f>IFERROR(INDEX($B$20:$B$35,MATCH(U5,$A$20:$A$35,0)),"")</f>
        <v/>
      </c>
      <c r="V30" s="2">
        <f>IFERROR(INDEX($B$20:$B$35,MATCH(V5,$A$20:$A$35,0)),"")</f>
        <v/>
      </c>
      <c r="W30" s="2" t="n"/>
    </row>
    <row r="31">
      <c r="C31" s="1" t="inlineStr">
        <is>
          <t>First, Middle, Last off</t>
        </is>
      </c>
      <c r="D31" s="2">
        <f>IFERROR(INDEX($B$20:$B$35,MATCH(D5,$A$20:$A$35,0)),"")</f>
        <v/>
      </c>
      <c r="E31" s="2">
        <f>IFERROR(INDEX($B$20:$B$35,MATCH(E5,$A$20:$A$35,0)),"")</f>
        <v/>
      </c>
      <c r="F31" s="2">
        <f>IFERROR(INDEX($B$20:$B$35,MATCH(F5,$A$20:$A$35,0)),"")</f>
        <v/>
      </c>
      <c r="G31" s="2">
        <f>IFERROR(INDEX($B$20:$B$35,MATCH(G5,$A$20:$A$35,0)),"")</f>
        <v/>
      </c>
      <c r="H31" s="2">
        <f>IFERROR(INDEX($B$20:$B$35,MATCH(H5,$A$20:$A$35,0)),"")</f>
        <v/>
      </c>
      <c r="I31" s="2">
        <f>IFERROR(INDEX($B$20:$B$35,MATCH(I5,$A$20:$A$35,0)),"")</f>
        <v/>
      </c>
      <c r="J31" s="2">
        <f>IFERROR(INDEX($B$20:$B$35,MATCH(J5,$A$20:$A$35,0)),"")</f>
        <v/>
      </c>
      <c r="K31" s="2">
        <f>IFERROR(INDEX($B$20:$B$35,MATCH(K5,$A$20:$A$35,0)),"")</f>
        <v/>
      </c>
      <c r="L31" s="2">
        <f>IFERROR(INDEX($B$20:$B$35,MATCH(L5,$A$20:$A$35,0)),"")</f>
        <v/>
      </c>
      <c r="M31" s="2">
        <f>IFERROR(INDEX($B$20:$B$35,MATCH(M5,$A$20:$A$35,0)),"")</f>
        <v/>
      </c>
      <c r="N31" s="2">
        <f>IFERROR(INDEX($B$20:$B$35,MATCH(N5,$A$20:$A$35,0)),"")</f>
        <v/>
      </c>
      <c r="O31" s="2">
        <f>IFERROR(INDEX($B$20:$B$35,MATCH(O5,$A$20:$A$35,0)),"")</f>
        <v/>
      </c>
      <c r="P31" s="2">
        <f>IFERROR(INDEX($B$20:$B$35,MATCH(P5,$A$20:$A$35,0)),"")</f>
        <v/>
      </c>
      <c r="Q31" s="2">
        <f>IFERROR(INDEX($B$20:$B$35,MATCH(Q5,$A$20:$A$35,0)),"")</f>
        <v/>
      </c>
      <c r="R31" s="2">
        <f>IFERROR(INDEX($B$20:$B$35,MATCH(R5,$A$20:$A$35,0)),"")</f>
        <v/>
      </c>
      <c r="S31" s="2">
        <f>IFERROR(INDEX($B$20:$B$35,MATCH(S5,$A$20:$A$35,0)),"")</f>
        <v/>
      </c>
      <c r="T31" s="2">
        <f>IFERROR(INDEX($B$20:$B$35,MATCH(T5,$A$20:$A$35,0)),"")</f>
        <v/>
      </c>
      <c r="U31" s="2">
        <f>IFERROR(INDEX($B$20:$B$35,MATCH(U5,$A$20:$A$35,0)),"")</f>
        <v/>
      </c>
      <c r="V31" s="2">
        <f>IFERROR(INDEX($B$20:$B$35,MATCH(V5,$A$20:$A$35,0)),"")</f>
        <v/>
      </c>
      <c r="W31" s="2" t="n"/>
    </row>
    <row r="32">
      <c r="C32" s="1" t="inlineStr">
        <is>
          <t>Robot Fault</t>
        </is>
      </c>
      <c r="D32" s="2">
        <f>IFERROR(INDEX($B$20:$B$35,MATCH(D5,$A$20:$A$35,0)),"")</f>
        <v/>
      </c>
      <c r="E32" s="2">
        <f>IFERROR(INDEX($B$20:$B$35,MATCH(E5,$A$20:$A$35,0)),"")</f>
        <v/>
      </c>
      <c r="F32" s="2">
        <f>IFERROR(INDEX($B$20:$B$35,MATCH(F5,$A$20:$A$35,0)),"")</f>
        <v/>
      </c>
      <c r="G32" s="2">
        <f>IFERROR(INDEX($B$20:$B$35,MATCH(G5,$A$20:$A$35,0)),"")</f>
        <v/>
      </c>
      <c r="H32" s="2">
        <f>IFERROR(INDEX($B$20:$B$35,MATCH(H5,$A$20:$A$35,0)),"")</f>
        <v/>
      </c>
      <c r="I32" s="2">
        <f>IFERROR(INDEX($B$20:$B$35,MATCH(I5,$A$20:$A$35,0)),"")</f>
        <v/>
      </c>
      <c r="J32" s="2">
        <f>IFERROR(INDEX($B$20:$B$35,MATCH(J5,$A$20:$A$35,0)),"")</f>
        <v/>
      </c>
      <c r="K32" s="2">
        <f>IFERROR(INDEX($B$20:$B$35,MATCH(K5,$A$20:$A$35,0)),"")</f>
        <v/>
      </c>
      <c r="L32" s="2">
        <f>IFERROR(INDEX($B$20:$B$35,MATCH(L5,$A$20:$A$35,0)),"")</f>
        <v/>
      </c>
      <c r="M32" s="2">
        <f>IFERROR(INDEX($B$20:$B$35,MATCH(M5,$A$20:$A$35,0)),"")</f>
        <v/>
      </c>
      <c r="N32" s="2">
        <f>IFERROR(INDEX($B$20:$B$35,MATCH(N5,$A$20:$A$35,0)),"")</f>
        <v/>
      </c>
      <c r="O32" s="2">
        <f>IFERROR(INDEX($B$20:$B$35,MATCH(O5,$A$20:$A$35,0)),"")</f>
        <v/>
      </c>
      <c r="P32" s="2">
        <f>IFERROR(INDEX($B$20:$B$35,MATCH(P5,$A$20:$A$35,0)),"")</f>
        <v/>
      </c>
      <c r="Q32" s="2">
        <f>IFERROR(INDEX($B$20:$B$35,MATCH(Q5,$A$20:$A$35,0)),"")</f>
        <v/>
      </c>
      <c r="R32" s="2">
        <f>IFERROR(INDEX($B$20:$B$35,MATCH(R5,$A$20:$A$35,0)),"")</f>
        <v/>
      </c>
      <c r="S32" s="2">
        <f>IFERROR(INDEX($B$20:$B$35,MATCH(S5,$A$20:$A$35,0)),"")</f>
        <v/>
      </c>
      <c r="T32" s="2">
        <f>IFERROR(INDEX($B$20:$B$35,MATCH(T5,$A$20:$A$35,0)),"")</f>
        <v/>
      </c>
      <c r="U32" s="2">
        <f>IFERROR(INDEX($B$20:$B$35,MATCH(U5,$A$20:$A$35,0)),"")</f>
        <v/>
      </c>
      <c r="V32" s="2">
        <f>IFERROR(INDEX($B$20:$B$35,MATCH(V5,$A$20:$A$35,0)),"")</f>
        <v/>
      </c>
      <c r="W32" s="2" t="n"/>
    </row>
    <row r="33">
      <c r="C33" s="1" t="inlineStr">
        <is>
          <t>Colour Issue</t>
        </is>
      </c>
      <c r="D33" s="2">
        <f>IFERROR(INDEX($B$20:$B$35,MATCH(D5,$A$20:$A$35,0)),"")</f>
        <v/>
      </c>
      <c r="E33" s="2">
        <f>IFERROR(INDEX($B$20:$B$35,MATCH(E5,$A$20:$A$35,0)),"")</f>
        <v/>
      </c>
      <c r="F33" s="2">
        <f>IFERROR(INDEX($B$20:$B$35,MATCH(F5,$A$20:$A$35,0)),"")</f>
        <v/>
      </c>
      <c r="G33" s="2">
        <f>IFERROR(INDEX($B$20:$B$35,MATCH(G5,$A$20:$A$35,0)),"")</f>
        <v/>
      </c>
      <c r="H33" s="2">
        <f>IFERROR(INDEX($B$20:$B$35,MATCH(H5,$A$20:$A$35,0)),"")</f>
        <v/>
      </c>
      <c r="I33" s="2">
        <f>IFERROR(INDEX($B$20:$B$35,MATCH(I5,$A$20:$A$35,0)),"")</f>
        <v/>
      </c>
      <c r="J33" s="2">
        <f>IFERROR(INDEX($B$20:$B$35,MATCH(J5,$A$20:$A$35,0)),"")</f>
        <v/>
      </c>
      <c r="K33" s="2">
        <f>IFERROR(INDEX($B$20:$B$35,MATCH(K5,$A$20:$A$35,0)),"")</f>
        <v/>
      </c>
      <c r="L33" s="2">
        <f>IFERROR(INDEX($B$20:$B$35,MATCH(L5,$A$20:$A$35,0)),"")</f>
        <v/>
      </c>
      <c r="M33" s="2">
        <f>IFERROR(INDEX($B$20:$B$35,MATCH(M5,$A$20:$A$35,0)),"")</f>
        <v/>
      </c>
      <c r="N33" s="2">
        <f>IFERROR(INDEX($B$20:$B$35,MATCH(N5,$A$20:$A$35,0)),"")</f>
        <v/>
      </c>
      <c r="O33" s="2">
        <f>IFERROR(INDEX($B$20:$B$35,MATCH(O5,$A$20:$A$35,0)),"")</f>
        <v/>
      </c>
      <c r="P33" s="2">
        <f>IFERROR(INDEX($B$20:$B$35,MATCH(P5,$A$20:$A$35,0)),"")</f>
        <v/>
      </c>
      <c r="Q33" s="2">
        <f>IFERROR(INDEX($B$20:$B$35,MATCH(Q5,$A$20:$A$35,0)),"")</f>
        <v/>
      </c>
      <c r="R33" s="2">
        <f>IFERROR(INDEX($B$20:$B$35,MATCH(R5,$A$20:$A$35,0)),"")</f>
        <v/>
      </c>
      <c r="S33" s="2">
        <f>IFERROR(INDEX($B$20:$B$35,MATCH(S5,$A$20:$A$35,0)),"")</f>
        <v/>
      </c>
      <c r="T33" s="2">
        <f>IFERROR(INDEX($B$20:$B$35,MATCH(T5,$A$20:$A$35,0)),"")</f>
        <v/>
      </c>
      <c r="U33" s="2">
        <f>IFERROR(INDEX($B$20:$B$35,MATCH(U5,$A$20:$A$35,0)),"")</f>
        <v/>
      </c>
      <c r="V33" s="2">
        <f>IFERROR(INDEX($B$20:$B$35,MATCH(V5,$A$20:$A$35,0)),"")</f>
        <v/>
      </c>
      <c r="W33" s="2" t="n"/>
    </row>
    <row r="36">
      <c r="C36" t="inlineStr">
        <is>
          <t xml:space="preserve">Reason </t>
        </is>
      </c>
      <c r="D36" t="inlineStr">
        <is>
          <t>WK 1</t>
        </is>
      </c>
      <c r="E36" t="inlineStr">
        <is>
          <t>WK 2</t>
        </is>
      </c>
      <c r="F36" t="inlineStr">
        <is>
          <t>WK 3</t>
        </is>
      </c>
      <c r="G36" t="inlineStr">
        <is>
          <t>WK 4</t>
        </is>
      </c>
      <c r="H36" t="inlineStr">
        <is>
          <t>WK 5</t>
        </is>
      </c>
      <c r="I36" t="inlineStr">
        <is>
          <t>WK 6</t>
        </is>
      </c>
      <c r="J36" t="inlineStr">
        <is>
          <t>WK 7</t>
        </is>
      </c>
      <c r="K36" t="inlineStr">
        <is>
          <t>WK 8</t>
        </is>
      </c>
      <c r="L36" t="inlineStr">
        <is>
          <t>WK 9</t>
        </is>
      </c>
      <c r="M36" t="inlineStr">
        <is>
          <t>WK 10</t>
        </is>
      </c>
      <c r="N36" t="inlineStr">
        <is>
          <t>WK 11</t>
        </is>
      </c>
      <c r="O36" t="inlineStr">
        <is>
          <t>WK 12</t>
        </is>
      </c>
      <c r="P36" t="inlineStr">
        <is>
          <t>WK 13</t>
        </is>
      </c>
      <c r="Q36" t="inlineStr">
        <is>
          <t>WK 14</t>
        </is>
      </c>
      <c r="R36" t="inlineStr">
        <is>
          <t>WK 15</t>
        </is>
      </c>
      <c r="S36" t="inlineStr">
        <is>
          <t>WK 16</t>
        </is>
      </c>
      <c r="T36" t="inlineStr">
        <is>
          <t>WK 17</t>
        </is>
      </c>
      <c r="U36" s="10" t="inlineStr">
        <is>
          <t>WK 18</t>
        </is>
      </c>
      <c r="V36" s="10" t="inlineStr">
        <is>
          <t>WK 19</t>
        </is>
      </c>
      <c r="W36" t="inlineStr">
        <is>
          <t>WK 20</t>
        </is>
      </c>
      <c r="X36" t="inlineStr">
        <is>
          <t>WK 21</t>
        </is>
      </c>
      <c r="Y36" t="inlineStr">
        <is>
          <t>WK 22</t>
        </is>
      </c>
      <c r="Z36" t="inlineStr">
        <is>
          <t>WK 23</t>
        </is>
      </c>
      <c r="AA36" t="inlineStr">
        <is>
          <t>WK 24</t>
        </is>
      </c>
      <c r="AB36" t="inlineStr">
        <is>
          <t>WK 25</t>
        </is>
      </c>
      <c r="AC36" t="inlineStr">
        <is>
          <t>WK 26</t>
        </is>
      </c>
      <c r="AD36" t="inlineStr">
        <is>
          <t>WK 27</t>
        </is>
      </c>
      <c r="AE36" t="inlineStr">
        <is>
          <t>WK 28</t>
        </is>
      </c>
      <c r="AF36" t="inlineStr">
        <is>
          <t>WK 29</t>
        </is>
      </c>
      <c r="AG36" t="inlineStr">
        <is>
          <t>WK 30</t>
        </is>
      </c>
      <c r="AH36" t="inlineStr">
        <is>
          <t>WK 31</t>
        </is>
      </c>
      <c r="AI36" t="inlineStr">
        <is>
          <t>WK 32</t>
        </is>
      </c>
      <c r="AJ36" t="inlineStr">
        <is>
          <t>WK 33</t>
        </is>
      </c>
      <c r="AK36" t="inlineStr">
        <is>
          <t>WK 34</t>
        </is>
      </c>
      <c r="AL36" t="inlineStr">
        <is>
          <t>WK 35</t>
        </is>
      </c>
      <c r="AM36" t="inlineStr">
        <is>
          <t>WK 36</t>
        </is>
      </c>
      <c r="AN36" t="inlineStr">
        <is>
          <t>WK 37</t>
        </is>
      </c>
      <c r="AO36" t="inlineStr">
        <is>
          <t>WK 38</t>
        </is>
      </c>
      <c r="AP36" t="inlineStr">
        <is>
          <t>WK 39</t>
        </is>
      </c>
      <c r="AQ36" t="inlineStr">
        <is>
          <t>WK 40</t>
        </is>
      </c>
      <c r="AR36" t="inlineStr">
        <is>
          <t>WK 41</t>
        </is>
      </c>
      <c r="AS36" t="inlineStr">
        <is>
          <t>WK 42</t>
        </is>
      </c>
      <c r="AT36" t="inlineStr">
        <is>
          <t>WK 43</t>
        </is>
      </c>
      <c r="AU36" t="inlineStr">
        <is>
          <t>WK 44</t>
        </is>
      </c>
      <c r="AV36" t="inlineStr">
        <is>
          <t>WK 45</t>
        </is>
      </c>
      <c r="AW36" t="inlineStr">
        <is>
          <t>WK 46</t>
        </is>
      </c>
      <c r="AX36" t="inlineStr">
        <is>
          <t>WK 47</t>
        </is>
      </c>
      <c r="AY36" t="inlineStr">
        <is>
          <t>WK 48</t>
        </is>
      </c>
      <c r="AZ36" t="inlineStr">
        <is>
          <t>WK 49</t>
        </is>
      </c>
      <c r="BA36" t="inlineStr">
        <is>
          <t>WK 50</t>
        </is>
      </c>
      <c r="BB36" t="inlineStr">
        <is>
          <t>WK 51</t>
        </is>
      </c>
      <c r="BC36" t="inlineStr">
        <is>
          <t>WK 52</t>
        </is>
      </c>
    </row>
    <row r="38">
      <c r="C38" s="9" t="inlineStr">
        <is>
          <t>Inclusions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7" t="n">
        <v>206</v>
      </c>
      <c r="V38" s="7" t="n">
        <v>845</v>
      </c>
      <c r="W38" t="n">
        <v>37</v>
      </c>
      <c r="X38" t="n">
        <v>184</v>
      </c>
      <c r="Y38" t="n">
        <v>0</v>
      </c>
      <c r="Z38" t="n">
        <v>33</v>
      </c>
      <c r="AA38" t="n">
        <v>14</v>
      </c>
      <c r="AB38" t="n">
        <v>567</v>
      </c>
      <c r="AC38" t="n">
        <v>1020</v>
      </c>
      <c r="AD38" t="n">
        <v>476</v>
      </c>
      <c r="AE38" t="n">
        <v>2</v>
      </c>
      <c r="AF38" t="n">
        <v>2198</v>
      </c>
      <c r="AG38" t="n">
        <v>20</v>
      </c>
      <c r="AH38" t="n">
        <v>0</v>
      </c>
      <c r="AI38" t="n">
        <v>98</v>
      </c>
      <c r="AJ38" t="n">
        <v>0</v>
      </c>
      <c r="AK38" t="n">
        <v>35</v>
      </c>
      <c r="AL38" t="n">
        <v>0</v>
      </c>
      <c r="AM38" t="n">
        <v>44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C39" t="inlineStr">
        <is>
          <t>Runs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</v>
      </c>
      <c r="V39" t="n">
        <v>515</v>
      </c>
      <c r="W39" t="n">
        <v>22</v>
      </c>
      <c r="X39" t="n">
        <v>576</v>
      </c>
      <c r="Y39" t="n">
        <v>0</v>
      </c>
      <c r="Z39" t="n">
        <v>179</v>
      </c>
      <c r="AA39" t="n">
        <v>156</v>
      </c>
      <c r="AB39" t="n">
        <v>1548</v>
      </c>
      <c r="AC39" t="n">
        <v>1205</v>
      </c>
      <c r="AD39" t="n">
        <v>575</v>
      </c>
      <c r="AE39" t="n">
        <v>10</v>
      </c>
      <c r="AF39" t="n">
        <v>6</v>
      </c>
      <c r="AG39" t="n">
        <v>1</v>
      </c>
      <c r="AH39" t="n">
        <v>0</v>
      </c>
      <c r="AI39" t="n">
        <v>97</v>
      </c>
      <c r="AJ39" t="n">
        <v>0</v>
      </c>
      <c r="AK39" t="n">
        <v>27</v>
      </c>
      <c r="AL39" t="n">
        <v>0</v>
      </c>
      <c r="AM39" t="n">
        <v>36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C40" t="inlineStr">
        <is>
          <t>Lack of paint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</v>
      </c>
      <c r="V40" t="n">
        <v>245</v>
      </c>
      <c r="W40" t="n">
        <v>9</v>
      </c>
      <c r="X40" t="n">
        <v>66</v>
      </c>
      <c r="Y40" t="n">
        <v>0</v>
      </c>
      <c r="Z40" t="n">
        <v>20</v>
      </c>
      <c r="AA40" t="n">
        <v>99</v>
      </c>
      <c r="AB40" t="n">
        <v>1203</v>
      </c>
      <c r="AC40" t="n">
        <v>522</v>
      </c>
      <c r="AD40" t="n">
        <v>482</v>
      </c>
      <c r="AE40" t="n">
        <v>6</v>
      </c>
      <c r="AF40" t="n">
        <v>0</v>
      </c>
      <c r="AG40" t="n">
        <v>1</v>
      </c>
      <c r="AH40" t="n">
        <v>0</v>
      </c>
      <c r="AI40" t="n">
        <v>82</v>
      </c>
      <c r="AJ40" t="n">
        <v>81</v>
      </c>
      <c r="AK40" t="n">
        <v>69</v>
      </c>
      <c r="AL40" t="n">
        <v>0</v>
      </c>
      <c r="AM40" t="n">
        <v>35</v>
      </c>
      <c r="AN40" t="n">
        <v>64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C41" t="inlineStr">
        <is>
          <t>Contamination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172</v>
      </c>
      <c r="W41" t="n">
        <v>56</v>
      </c>
      <c r="X41" t="n">
        <v>193</v>
      </c>
      <c r="Y41" t="n">
        <v>0</v>
      </c>
      <c r="Z41" t="n">
        <v>16</v>
      </c>
      <c r="AA41" t="n">
        <v>25</v>
      </c>
      <c r="AB41" t="n">
        <v>119</v>
      </c>
      <c r="AC41" t="n">
        <v>1045</v>
      </c>
      <c r="AD41" t="n">
        <v>352</v>
      </c>
      <c r="AE41" t="n">
        <v>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C42" t="inlineStr">
        <is>
          <t>Scratches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151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77</v>
      </c>
      <c r="AC42" t="n">
        <v>75</v>
      </c>
      <c r="AD42" t="n">
        <v>15</v>
      </c>
      <c r="AE42" t="n">
        <v>0</v>
      </c>
      <c r="AF42" t="n">
        <v>0</v>
      </c>
      <c r="AG42" t="n">
        <v>0</v>
      </c>
      <c r="AH42" t="n">
        <v>0</v>
      </c>
      <c r="AI42" t="n">
        <v>181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C43" t="inlineStr">
        <is>
          <t>Flash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C44" t="inlineStr">
        <is>
          <t>Damage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5</v>
      </c>
      <c r="AA44" t="n">
        <v>28</v>
      </c>
      <c r="AB44" t="n">
        <v>15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C45" t="inlineStr">
        <is>
          <t>Solvent Boil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450</v>
      </c>
      <c r="W45" t="n">
        <v>9</v>
      </c>
      <c r="X45" t="n">
        <v>0</v>
      </c>
      <c r="Y45" t="n">
        <v>0</v>
      </c>
      <c r="Z45" t="n">
        <v>0</v>
      </c>
      <c r="AA45" t="n">
        <v>25</v>
      </c>
      <c r="AB45" t="n">
        <v>511</v>
      </c>
      <c r="AC45" t="n">
        <v>18</v>
      </c>
      <c r="AD45" t="n">
        <v>69</v>
      </c>
      <c r="AE45" t="n">
        <v>0</v>
      </c>
      <c r="AF45" t="n">
        <v>0</v>
      </c>
      <c r="AG45" t="n">
        <v>74</v>
      </c>
      <c r="AH45" t="n">
        <v>0</v>
      </c>
      <c r="AI45" t="n">
        <v>124</v>
      </c>
      <c r="AJ45" t="n">
        <v>0</v>
      </c>
      <c r="AK45" t="n">
        <v>0</v>
      </c>
      <c r="AL45" t="n">
        <v>0</v>
      </c>
      <c r="AM45" t="n">
        <v>11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C46" t="inlineStr">
        <is>
          <t>Patchy paint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</v>
      </c>
      <c r="W46" t="n">
        <v>13</v>
      </c>
      <c r="X46" t="n">
        <v>0</v>
      </c>
      <c r="Y46" t="n">
        <v>0</v>
      </c>
      <c r="Z46" t="n">
        <v>3</v>
      </c>
      <c r="AA46" t="n">
        <v>6</v>
      </c>
      <c r="AB46" t="n">
        <v>127</v>
      </c>
      <c r="AC46" t="n">
        <v>490</v>
      </c>
      <c r="AD46" t="n">
        <v>91</v>
      </c>
      <c r="AE46" t="n">
        <v>0</v>
      </c>
      <c r="AF46" t="n">
        <v>0</v>
      </c>
      <c r="AG46" t="n">
        <v>0</v>
      </c>
      <c r="AH46" t="n">
        <v>0</v>
      </c>
      <c r="AI46" t="n">
        <v>43</v>
      </c>
      <c r="AJ46" t="n">
        <v>0</v>
      </c>
      <c r="AK46" t="n">
        <v>0</v>
      </c>
      <c r="AL46" t="n">
        <v>0</v>
      </c>
      <c r="AM46" t="n">
        <v>12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C47" t="inlineStr">
        <is>
          <t>Water damage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C48" t="inlineStr">
        <is>
          <t>Sinks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71</v>
      </c>
      <c r="X48" t="n">
        <v>4</v>
      </c>
      <c r="Y48" t="n">
        <v>0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C49" t="inlineStr">
        <is>
          <t>Securing Broken Clip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28</v>
      </c>
      <c r="V49" t="n">
        <v>76</v>
      </c>
      <c r="W49" t="n">
        <v>0</v>
      </c>
      <c r="X49" t="n">
        <v>37</v>
      </c>
      <c r="Y49" t="n">
        <v>0</v>
      </c>
      <c r="Z49" t="n">
        <v>0</v>
      </c>
      <c r="AA49" t="n">
        <v>0</v>
      </c>
      <c r="AB49" t="n">
        <v>245</v>
      </c>
      <c r="AC49" t="n">
        <v>205</v>
      </c>
      <c r="AD49" t="n">
        <v>64</v>
      </c>
      <c r="AE49" t="n">
        <v>0</v>
      </c>
      <c r="AF49" t="n">
        <v>0</v>
      </c>
      <c r="AG49" t="n">
        <v>0</v>
      </c>
      <c r="AH49" t="n">
        <v>0</v>
      </c>
      <c r="AI49" t="n">
        <v>24</v>
      </c>
      <c r="AJ49" t="n">
        <v>0</v>
      </c>
      <c r="AK49" t="n">
        <v>0</v>
      </c>
      <c r="AL49" t="n">
        <v>0</v>
      </c>
      <c r="AM49" t="n">
        <v>20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C50" t="inlineStr">
        <is>
          <t>Orange Peel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74</v>
      </c>
      <c r="V50" t="n">
        <v>288</v>
      </c>
      <c r="W50" t="n">
        <v>3</v>
      </c>
      <c r="X50" t="n">
        <v>20</v>
      </c>
      <c r="Y50" t="n">
        <v>0</v>
      </c>
      <c r="Z50" t="n">
        <v>0</v>
      </c>
      <c r="AA50" t="n">
        <v>32</v>
      </c>
      <c r="AB50" t="n">
        <v>434</v>
      </c>
      <c r="AC50" t="n">
        <v>14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0</v>
      </c>
      <c r="AK50" t="n">
        <v>0</v>
      </c>
      <c r="AL50" t="n">
        <v>0</v>
      </c>
      <c r="AM50" t="n">
        <v>17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C51" t="inlineStr">
        <is>
          <t>Plastics Fault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253</v>
      </c>
      <c r="V51" t="n">
        <v>866</v>
      </c>
      <c r="W51" t="n">
        <v>41</v>
      </c>
      <c r="X51" t="n">
        <v>1</v>
      </c>
      <c r="Y51" t="n">
        <v>0</v>
      </c>
      <c r="Z51" t="n">
        <v>90</v>
      </c>
      <c r="AA51" t="n">
        <v>593</v>
      </c>
      <c r="AB51" t="n">
        <v>294</v>
      </c>
      <c r="AC51" t="n">
        <v>1257</v>
      </c>
      <c r="AD51" t="n">
        <v>329</v>
      </c>
      <c r="AE51" t="n">
        <v>0</v>
      </c>
      <c r="AF51" t="n">
        <v>4</v>
      </c>
      <c r="AG51" t="n">
        <v>0</v>
      </c>
      <c r="AH51" t="n">
        <v>0</v>
      </c>
      <c r="AI51" t="n">
        <v>41</v>
      </c>
      <c r="AJ51" t="n">
        <v>24</v>
      </c>
      <c r="AK51" t="n">
        <v>0</v>
      </c>
      <c r="AL51" t="n">
        <v>0</v>
      </c>
      <c r="AM51" t="n">
        <v>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C52" t="inlineStr">
        <is>
          <t>Post Paint Damage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23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C53" t="inlineStr">
        <is>
          <t>Sanding Marks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C54" t="inlineStr">
        <is>
          <t>Polish Marks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226</v>
      </c>
      <c r="V54" t="n">
        <v>95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C55" t="inlineStr">
        <is>
          <t>First, Middle, Last off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</v>
      </c>
      <c r="W55" t="n">
        <v>8</v>
      </c>
      <c r="X55" t="n">
        <v>3</v>
      </c>
      <c r="Y55" t="n">
        <v>0</v>
      </c>
      <c r="Z55" t="n">
        <v>0</v>
      </c>
      <c r="AA55" t="n">
        <v>12</v>
      </c>
      <c r="AB55" t="n">
        <v>14</v>
      </c>
      <c r="AC55" t="n">
        <v>36</v>
      </c>
      <c r="AD55" t="n">
        <v>8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C56" t="inlineStr">
        <is>
          <t>Robot Fault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</v>
      </c>
      <c r="AG56" t="n">
        <v>0</v>
      </c>
      <c r="AH56" t="n">
        <v>0</v>
      </c>
      <c r="AI56" t="n">
        <v>0</v>
      </c>
      <c r="AJ56" t="n">
        <v>0</v>
      </c>
      <c r="AK56" t="n">
        <v>96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C57" t="inlineStr">
        <is>
          <t>Colour Issue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884</v>
      </c>
      <c r="V58" t="n">
        <v>3777</v>
      </c>
      <c r="W58" t="n">
        <v>270</v>
      </c>
      <c r="X58" t="n">
        <v>1085</v>
      </c>
      <c r="Y58" t="n">
        <v>0</v>
      </c>
      <c r="Z58" t="n">
        <v>374</v>
      </c>
      <c r="AA58" t="n">
        <v>990</v>
      </c>
      <c r="AB58" t="n">
        <v>5157</v>
      </c>
      <c r="AC58" t="n">
        <v>5887</v>
      </c>
      <c r="AD58" t="n">
        <v>2461</v>
      </c>
      <c r="AE58" t="n">
        <v>27</v>
      </c>
      <c r="AF58" t="n">
        <v>2243</v>
      </c>
      <c r="AG58" t="n">
        <v>96</v>
      </c>
      <c r="AH58" t="n">
        <v>0</v>
      </c>
      <c r="AI58" t="n">
        <v>720</v>
      </c>
      <c r="AJ58" t="n">
        <v>105</v>
      </c>
      <c r="AK58" t="n">
        <v>229</v>
      </c>
      <c r="AL58" t="n">
        <v>0</v>
      </c>
      <c r="AM58" t="n">
        <v>200</v>
      </c>
      <c r="AN58" t="n">
        <v>64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2021-09-16T06:28:27Z</dcterms:created>
  <dcterms:modified xsi:type="dcterms:W3CDTF">2026-03-23T10:18:23Z</dcterms:modified>
  <cp:lastModifiedBy>T T</cp:lastModifiedBy>
</cp:coreProperties>
</file>