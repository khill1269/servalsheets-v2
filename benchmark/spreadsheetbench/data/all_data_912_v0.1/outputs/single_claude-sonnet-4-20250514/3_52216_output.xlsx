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1" activeTab="1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26">
    <font>
      <name val="等线"/>
      <charset val="134"/>
      <color theme="1"/>
      <sz val="11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theme="1"/>
      <sz val="11"/>
      <scheme val="minor"/>
    </font>
    <font>
      <name val="等线"/>
      <charset val="134"/>
      <b val="1"/>
      <color theme="0"/>
      <sz val="14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1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2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4" fillId="0" borderId="0" applyAlignment="1">
      <alignment vertical="center"/>
    </xf>
    <xf numFmtId="0" fontId="15" fillId="7" borderId="14" applyAlignment="1">
      <alignment vertical="center"/>
    </xf>
    <xf numFmtId="0" fontId="16" fillId="8" borderId="15" applyAlignment="1">
      <alignment vertical="center"/>
    </xf>
    <xf numFmtId="0" fontId="17" fillId="8" borderId="14" applyAlignment="1">
      <alignment vertical="center"/>
    </xf>
    <xf numFmtId="0" fontId="18" fillId="9" borderId="16" applyAlignment="1">
      <alignment vertical="center"/>
    </xf>
    <xf numFmtId="0" fontId="19" fillId="0" borderId="17" applyAlignment="1">
      <alignment vertical="center"/>
    </xf>
    <xf numFmtId="0" fontId="20" fillId="0" borderId="18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2" fillId="2" borderId="0" applyAlignment="1" pivotButton="0" quotePrefix="0" xfId="0">
      <alignment horizontal="center"/>
    </xf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0"/>
  <sheetViews>
    <sheetView workbookViewId="0">
      <selection activeCell="E10" sqref="E10"/>
    </sheetView>
  </sheetViews>
  <sheetFormatPr baseColWidth="8" defaultColWidth="8.66666666666667" defaultRowHeight="14"/>
  <cols>
    <col width="34.4416666666667" customWidth="1" style="1" min="1" max="1"/>
    <col width="12.1083333333333" customWidth="1" style="1" min="2" max="2"/>
    <col width="8.66666666666667" customWidth="1" style="1" min="3" max="16384"/>
  </cols>
  <sheetData>
    <row r="2"/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2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2" t="n">
        <v>0.025</v>
      </c>
    </row>
    <row r="7">
      <c r="A7" s="1" t="inlineStr">
        <is>
          <t>Net Lettable Area (SQM)</t>
        </is>
      </c>
      <c r="B7" s="33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4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K21" sqref="K21"/>
    </sheetView>
  </sheetViews>
  <sheetFormatPr baseColWidth="8" defaultColWidth="8.66666666666667" defaultRowHeight="14"/>
  <cols>
    <col width="30.1083333333333" customWidth="1" style="1" min="1" max="1"/>
    <col width="8.66666666666667" customWidth="1" style="1" min="2" max="2"/>
    <col width="11" customWidth="1" style="1" min="3" max="3"/>
    <col width="13.6666666666667" customWidth="1" style="1" min="4" max="12"/>
    <col width="8.66666666666667" customWidth="1" style="1" min="13" max="16384"/>
  </cols>
  <sheetData>
    <row r="2" ht="14.75" customHeight="1">
      <c r="B2" s="11" t="inlineStr">
        <is>
          <t>YEAR</t>
        </is>
      </c>
    </row>
    <row r="3" ht="18.25" customHeight="1">
      <c r="A3" s="12" t="inlineStr">
        <is>
          <t xml:space="preserve">REVENUE </t>
        </is>
      </c>
      <c r="B3" s="13" t="n">
        <v>0</v>
      </c>
      <c r="C3" s="13" t="n"/>
      <c r="D3" s="13" t="n">
        <v>2</v>
      </c>
      <c r="E3" s="13" t="n">
        <v>3</v>
      </c>
      <c r="F3" s="13" t="n">
        <v>4</v>
      </c>
      <c r="G3" s="13" t="n">
        <v>5</v>
      </c>
      <c r="H3" s="13" t="n">
        <v>6</v>
      </c>
      <c r="I3" s="13" t="n">
        <v>7</v>
      </c>
      <c r="J3" s="13" t="n">
        <v>8</v>
      </c>
      <c r="K3" s="13" t="n">
        <v>9</v>
      </c>
      <c r="L3" s="31" t="n">
        <v>10</v>
      </c>
    </row>
    <row r="4">
      <c r="A4" s="14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7" t="inlineStr">
        <is>
          <t>GPR Growth (%)</t>
        </is>
      </c>
      <c r="B5" s="18" t="n">
        <v>0</v>
      </c>
      <c r="C5" s="18">
        <f>DATA!B5</f>
        <v/>
      </c>
      <c r="D5" s="18">
        <f>DATA!B5</f>
        <v/>
      </c>
      <c r="E5" s="18">
        <f>DATA!B5</f>
        <v/>
      </c>
      <c r="F5" s="18">
        <f>DATA!B5</f>
        <v/>
      </c>
      <c r="G5" s="18">
        <f>DATA!B5</f>
        <v/>
      </c>
      <c r="H5" s="18">
        <f>DATA!B5</f>
        <v/>
      </c>
      <c r="I5" s="18">
        <f>DATA!B5</f>
        <v/>
      </c>
      <c r="J5" s="18">
        <f>DATA!B5</f>
        <v/>
      </c>
      <c r="K5" s="18">
        <f>DATA!B5</f>
        <v/>
      </c>
      <c r="L5" s="18">
        <f>DATA!B5</f>
        <v/>
      </c>
    </row>
    <row r="6">
      <c r="A6" s="17" t="inlineStr">
        <is>
          <t>Vacancy Rate</t>
        </is>
      </c>
      <c r="B6" s="18" t="n">
        <v>1</v>
      </c>
      <c r="C6" s="18" t="n">
        <v>1</v>
      </c>
      <c r="D6" s="18" t="n">
        <v>0.55</v>
      </c>
      <c r="E6" s="18" t="n">
        <v>0.1</v>
      </c>
      <c r="F6" s="18" t="n">
        <v>0.1</v>
      </c>
      <c r="G6" s="18" t="n">
        <v>0.1</v>
      </c>
      <c r="H6" s="18" t="n">
        <v>0.1</v>
      </c>
      <c r="I6" s="18" t="n">
        <v>0.1</v>
      </c>
      <c r="J6" s="18" t="n">
        <v>0.1</v>
      </c>
      <c r="K6" s="18" t="n">
        <v>0.1</v>
      </c>
      <c r="L6" s="18" t="n">
        <v>0.1</v>
      </c>
    </row>
    <row r="7">
      <c r="A7" s="19" t="inlineStr">
        <is>
          <t>Occupancy Rate (%)</t>
        </is>
      </c>
      <c r="B7" s="20">
        <f>1-B6</f>
        <v/>
      </c>
      <c r="C7" s="20">
        <f>1-C6</f>
        <v/>
      </c>
      <c r="D7" s="20">
        <f>1-D6</f>
        <v/>
      </c>
      <c r="E7" s="20">
        <f>1-E6</f>
        <v/>
      </c>
      <c r="F7" s="20">
        <f>1-F6</f>
        <v/>
      </c>
      <c r="G7" s="20">
        <f>1-G6</f>
        <v/>
      </c>
      <c r="H7" s="20">
        <f>1-H6</f>
        <v/>
      </c>
      <c r="I7" s="20">
        <f>1-I6</f>
        <v/>
      </c>
      <c r="J7" s="20">
        <f>1-J6</f>
        <v/>
      </c>
      <c r="K7" s="20">
        <f>1-K6</f>
        <v/>
      </c>
      <c r="L7" s="20">
        <f>1-L6</f>
        <v/>
      </c>
    </row>
    <row r="8" ht="14.75" customHeight="1">
      <c r="A8" s="21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7" t="inlineStr">
        <is>
          <t>Discount Rate (%)</t>
        </is>
      </c>
      <c r="B9" s="18" t="n">
        <v>0</v>
      </c>
      <c r="C9" s="18" t="n">
        <v>0.2</v>
      </c>
      <c r="D9" s="18" t="n">
        <v>0.1</v>
      </c>
      <c r="E9" s="18" t="n">
        <v>0.05</v>
      </c>
      <c r="F9" s="18" t="n">
        <v>0.05</v>
      </c>
      <c r="G9" s="18" t="n">
        <v>0.05</v>
      </c>
      <c r="H9" s="18" t="n">
        <v>0.05</v>
      </c>
      <c r="I9" s="18" t="n">
        <v>0.05</v>
      </c>
      <c r="J9" s="18" t="n">
        <v>0.05</v>
      </c>
      <c r="K9" s="18" t="n">
        <v>0.05</v>
      </c>
      <c r="L9" s="18" t="n">
        <v>0.05</v>
      </c>
    </row>
    <row r="10" ht="14.75" customHeight="1">
      <c r="A10" s="21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 ht="14.75" customHeight="1">
      <c r="A11" s="17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 ht="14.75" customHeight="1">
      <c r="A12" s="26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7.5" customHeight="1">
      <c r="A13" s="28" t="inlineStr">
        <is>
          <t>EXPENSES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</row>
    <row r="14">
      <c r="A14" s="30" t="inlineStr">
        <is>
          <t>Advertising &amp; Marketing</t>
        </is>
      </c>
    </row>
    <row r="15">
      <c r="A15" s="17" t="inlineStr">
        <is>
          <t>Electricity</t>
        </is>
      </c>
      <c r="C15" s="35">
        <f>IFNA(INDEX(Sheet2!C2:C20,MATCH($A15,Sheet2!$B$2:$B$20,0)),0)</f>
        <v/>
      </c>
      <c r="D15" s="35">
        <f>IFNA(INDEX(Sheet2!D2:D20,MATCH($A15,Sheet2!$B$2:$B$20,0)),0)</f>
        <v/>
      </c>
      <c r="E15" s="35">
        <f>IFNA(INDEX(Sheet2!E2:E20,MATCH($A15,Sheet2!$B$2:$B$20,0)),0)</f>
        <v/>
      </c>
      <c r="F15" s="35">
        <f>IFNA(INDEX(Sheet2!F2:F20,MATCH($A15,Sheet2!$B$2:$B$20,0)),0)</f>
        <v/>
      </c>
      <c r="G15" s="35">
        <f>IFNA(INDEX(Sheet2!G2:G20,MATCH($A15,Sheet2!$B$2:$B$20,0)),0)</f>
        <v/>
      </c>
      <c r="H15" s="35" t="n"/>
      <c r="I15" s="35" t="n"/>
      <c r="J15" s="35" t="n"/>
      <c r="K15" s="35" t="n"/>
      <c r="L15" s="35" t="n"/>
    </row>
    <row r="16">
      <c r="A16" s="1" t="inlineStr">
        <is>
          <t>Electricity</t>
        </is>
      </c>
      <c r="C16" s="35">
        <f>IFNA(INDEX(Sheet2!C2:C20,MATCH($A16,Sheet2!$B$2:$B$20,0)),0)</f>
        <v/>
      </c>
      <c r="D16" s="35">
        <f>IFNA(INDEX(Sheet2!D2:D20,MATCH($A16,Sheet2!$B$2:$B$20,0)),0)</f>
        <v/>
      </c>
      <c r="E16" s="35">
        <f>IFNA(INDEX(Sheet2!E2:E20,MATCH($A16,Sheet2!$B$2:$B$20,0)),0)</f>
        <v/>
      </c>
      <c r="F16" s="35">
        <f>IFNA(INDEX(Sheet2!F2:F20,MATCH($A16,Sheet2!$B$2:$B$20,0)),0)</f>
        <v/>
      </c>
      <c r="G16" s="35">
        <f>IFNA(INDEX(Sheet2!G2:G20,MATCH($A16,Sheet2!$B$2:$B$20,0)),0)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dataValidations count="1">
    <dataValidation sqref="A14" showDropDown="0" showInputMessage="1" showErrorMessage="1" allowBlank="1" promptTitle="Select" prompt="&#10;&#10;" type="list">
      <formula1>DATA!$E$4:$E$6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6666666666667" defaultRowHeight="14"/>
  <cols>
    <col width="8.66666666666667" customWidth="1" style="1" min="1" max="1"/>
    <col width="21.1083333333333" customWidth="1" style="1" min="2" max="2"/>
    <col width="8.66666666666667" customWidth="1" style="1" min="3" max="8"/>
    <col width="21.1083333333333" customWidth="1" style="1" min="9" max="9"/>
    <col width="8.66666666666667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6666666666667" defaultRowHeight="14"/>
  <cols>
    <col width="22" customWidth="1" style="1" min="1" max="1"/>
    <col width="11.8833333333333" customWidth="1" style="1" min="2" max="2"/>
    <col width="12.3333333333333" customWidth="1" style="1" min="3" max="6"/>
    <col width="8.66666666666667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28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 ht="14.75" customHeight="1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 ht="14.75" customHeight="1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 ht="14.75" customHeight="1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 ht="14.75" customHeight="1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 ht="14.75" customHeight="1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 ht="14.75" customHeight="1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 ht="14.75" customHeight="1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 ht="14.75" customHeight="1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2026-03-23T10:26:31Z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